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05CC438DC355128/ANTIGUO/Documentos/PERSONAL/Universidad/Tercero/Primer_Cuatrimestre/Metaheuristicas/Practicas/practica3meta/material/"/>
    </mc:Choice>
  </mc:AlternateContent>
  <xr:revisionPtr revIDLastSave="1162" documentId="13_ncr:1_{1EC32BA9-E4D7-4716-B5F6-9BC89E3DA072}" xr6:coauthVersionLast="47" xr6:coauthVersionMax="47" xr10:uidLastSave="{BB3B64E0-BA98-40C5-BBB9-D6FBFEA3A830}"/>
  <bookViews>
    <workbookView xWindow="28680" yWindow="-120" windowWidth="29040" windowHeight="1572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aVikW6aFnQZD3+pFeBrbI5Ge3EQwVZF+YfUz69iVeCM="/>
    </ext>
  </extLst>
</workbook>
</file>

<file path=xl/calcChain.xml><?xml version="1.0" encoding="utf-8"?>
<calcChain xmlns="http://schemas.openxmlformats.org/spreadsheetml/2006/main">
  <c r="O233" i="1" l="1"/>
  <c r="N233" i="1"/>
  <c r="O232" i="1"/>
  <c r="N232" i="1"/>
  <c r="O231" i="1"/>
  <c r="N231" i="1"/>
  <c r="O225" i="1"/>
  <c r="N225" i="1"/>
  <c r="O224" i="1"/>
  <c r="N224" i="1"/>
  <c r="O223" i="1"/>
  <c r="N223" i="1"/>
  <c r="N211" i="1"/>
  <c r="N212" i="1"/>
  <c r="N210" i="1"/>
  <c r="O210" i="1"/>
  <c r="O211" i="1"/>
  <c r="O212" i="1"/>
  <c r="N203" i="1"/>
  <c r="N204" i="1"/>
  <c r="N202" i="1"/>
  <c r="O202" i="1"/>
  <c r="O203" i="1"/>
  <c r="O204" i="1"/>
  <c r="O59" i="1"/>
  <c r="N59" i="1"/>
  <c r="O58" i="1"/>
  <c r="N58" i="1"/>
  <c r="O57" i="1"/>
  <c r="N57" i="1"/>
  <c r="O122" i="1"/>
  <c r="N122" i="1"/>
  <c r="O121" i="1"/>
  <c r="N121" i="1"/>
  <c r="O120" i="1"/>
  <c r="N120" i="1"/>
  <c r="O183" i="1"/>
  <c r="O184" i="1"/>
  <c r="O185" i="1"/>
  <c r="N184" i="1"/>
  <c r="N185" i="1"/>
  <c r="N183" i="1"/>
  <c r="O179" i="1"/>
  <c r="N179" i="1"/>
  <c r="O178" i="1"/>
  <c r="N178" i="1"/>
  <c r="O177" i="1"/>
  <c r="N177" i="1"/>
  <c r="O176" i="1"/>
  <c r="O116" i="1"/>
  <c r="N116" i="1"/>
  <c r="O115" i="1"/>
  <c r="N115" i="1"/>
  <c r="O114" i="1"/>
  <c r="N114" i="1"/>
  <c r="O113" i="1"/>
  <c r="O50" i="1"/>
  <c r="C21" i="1"/>
  <c r="B21" i="1"/>
  <c r="D21" i="1"/>
  <c r="E21" i="1"/>
  <c r="F21" i="1"/>
  <c r="F65" i="1" s="1"/>
  <c r="H21" i="1"/>
  <c r="H65" i="1" s="1"/>
  <c r="I21" i="1"/>
  <c r="I65" i="1" s="1"/>
  <c r="I20" i="1"/>
  <c r="H20" i="1"/>
  <c r="G20" i="1"/>
  <c r="G57" i="1" s="1"/>
  <c r="F20" i="1"/>
  <c r="E20" i="1"/>
  <c r="D20" i="1"/>
  <c r="D57" i="1" s="1"/>
  <c r="C20" i="1"/>
  <c r="C57" i="1" s="1"/>
  <c r="B20" i="1"/>
  <c r="B57" i="1" s="1"/>
  <c r="I174" i="1"/>
  <c r="I193" i="1" s="1"/>
  <c r="H174" i="1"/>
  <c r="H193" i="1" s="1"/>
  <c r="G174" i="1"/>
  <c r="G193" i="1" s="1"/>
  <c r="F174" i="1"/>
  <c r="F193" i="1" s="1"/>
  <c r="E174" i="1"/>
  <c r="E193" i="1" s="1"/>
  <c r="D174" i="1"/>
  <c r="D193" i="1" s="1"/>
  <c r="C174" i="1"/>
  <c r="C193" i="1" s="1"/>
  <c r="B174" i="1"/>
  <c r="B193" i="1" s="1"/>
  <c r="I173" i="1"/>
  <c r="I185" i="1" s="1"/>
  <c r="H173" i="1"/>
  <c r="H185" i="1" s="1"/>
  <c r="G173" i="1"/>
  <c r="G185" i="1" s="1"/>
  <c r="F173" i="1"/>
  <c r="F185" i="1" s="1"/>
  <c r="E173" i="1"/>
  <c r="E185" i="1" s="1"/>
  <c r="D173" i="1"/>
  <c r="D185" i="1" s="1"/>
  <c r="C173" i="1"/>
  <c r="C185" i="1" s="1"/>
  <c r="B173" i="1"/>
  <c r="B185" i="1" s="1"/>
  <c r="I160" i="1"/>
  <c r="I192" i="1" s="1"/>
  <c r="H160" i="1"/>
  <c r="H192" i="1" s="1"/>
  <c r="G160" i="1"/>
  <c r="G192" i="1" s="1"/>
  <c r="F160" i="1"/>
  <c r="F192" i="1" s="1"/>
  <c r="E160" i="1"/>
  <c r="E192" i="1" s="1"/>
  <c r="D160" i="1"/>
  <c r="D192" i="1" s="1"/>
  <c r="C160" i="1"/>
  <c r="C192" i="1" s="1"/>
  <c r="B160" i="1"/>
  <c r="B192" i="1" s="1"/>
  <c r="I159" i="1"/>
  <c r="I184" i="1" s="1"/>
  <c r="H159" i="1"/>
  <c r="H184" i="1" s="1"/>
  <c r="G159" i="1"/>
  <c r="G184" i="1" s="1"/>
  <c r="F159" i="1"/>
  <c r="F184" i="1" s="1"/>
  <c r="E159" i="1"/>
  <c r="E184" i="1" s="1"/>
  <c r="D159" i="1"/>
  <c r="D184" i="1" s="1"/>
  <c r="C159" i="1"/>
  <c r="C184" i="1" s="1"/>
  <c r="B159" i="1"/>
  <c r="B184" i="1" s="1"/>
  <c r="I147" i="1"/>
  <c r="I191" i="1" s="1"/>
  <c r="H147" i="1"/>
  <c r="H191" i="1" s="1"/>
  <c r="G147" i="1"/>
  <c r="G191" i="1" s="1"/>
  <c r="F147" i="1"/>
  <c r="F191" i="1" s="1"/>
  <c r="E147" i="1"/>
  <c r="E191" i="1" s="1"/>
  <c r="D147" i="1"/>
  <c r="D191" i="1" s="1"/>
  <c r="C147" i="1"/>
  <c r="C191" i="1" s="1"/>
  <c r="B147" i="1"/>
  <c r="B191" i="1" s="1"/>
  <c r="I146" i="1"/>
  <c r="I183" i="1" s="1"/>
  <c r="H146" i="1"/>
  <c r="H183" i="1" s="1"/>
  <c r="G146" i="1"/>
  <c r="G183" i="1" s="1"/>
  <c r="F146" i="1"/>
  <c r="F183" i="1" s="1"/>
  <c r="E146" i="1"/>
  <c r="E183" i="1" s="1"/>
  <c r="D146" i="1"/>
  <c r="D183" i="1" s="1"/>
  <c r="C146" i="1"/>
  <c r="C183" i="1" s="1"/>
  <c r="B146" i="1"/>
  <c r="B183" i="1" s="1"/>
  <c r="I111" i="1"/>
  <c r="I130" i="1" s="1"/>
  <c r="H111" i="1"/>
  <c r="H130" i="1" s="1"/>
  <c r="G111" i="1"/>
  <c r="G130" i="1" s="1"/>
  <c r="F111" i="1"/>
  <c r="F130" i="1" s="1"/>
  <c r="E111" i="1"/>
  <c r="E130" i="1" s="1"/>
  <c r="D111" i="1"/>
  <c r="D130" i="1" s="1"/>
  <c r="C111" i="1"/>
  <c r="C130" i="1" s="1"/>
  <c r="B111" i="1"/>
  <c r="B130" i="1" s="1"/>
  <c r="I110" i="1"/>
  <c r="I122" i="1" s="1"/>
  <c r="H110" i="1"/>
  <c r="H122" i="1" s="1"/>
  <c r="G110" i="1"/>
  <c r="G122" i="1" s="1"/>
  <c r="F110" i="1"/>
  <c r="F122" i="1" s="1"/>
  <c r="E110" i="1"/>
  <c r="E122" i="1" s="1"/>
  <c r="D110" i="1"/>
  <c r="D122" i="1" s="1"/>
  <c r="C110" i="1"/>
  <c r="C122" i="1" s="1"/>
  <c r="B110" i="1"/>
  <c r="B122" i="1" s="1"/>
  <c r="I97" i="1"/>
  <c r="I129" i="1" s="1"/>
  <c r="H97" i="1"/>
  <c r="H129" i="1" s="1"/>
  <c r="G97" i="1"/>
  <c r="G129" i="1" s="1"/>
  <c r="F97" i="1"/>
  <c r="F129" i="1" s="1"/>
  <c r="E97" i="1"/>
  <c r="E129" i="1" s="1"/>
  <c r="D97" i="1"/>
  <c r="D129" i="1" s="1"/>
  <c r="C97" i="1"/>
  <c r="C129" i="1" s="1"/>
  <c r="B97" i="1"/>
  <c r="B129" i="1" s="1"/>
  <c r="I96" i="1"/>
  <c r="I121" i="1" s="1"/>
  <c r="H96" i="1"/>
  <c r="H121" i="1" s="1"/>
  <c r="G96" i="1"/>
  <c r="G121" i="1" s="1"/>
  <c r="F96" i="1"/>
  <c r="F121" i="1" s="1"/>
  <c r="E96" i="1"/>
  <c r="E121" i="1" s="1"/>
  <c r="D96" i="1"/>
  <c r="D121" i="1" s="1"/>
  <c r="C96" i="1"/>
  <c r="C121" i="1" s="1"/>
  <c r="B96" i="1"/>
  <c r="B121" i="1" s="1"/>
  <c r="I84" i="1"/>
  <c r="I128" i="1" s="1"/>
  <c r="H84" i="1"/>
  <c r="H128" i="1" s="1"/>
  <c r="G84" i="1"/>
  <c r="G128" i="1" s="1"/>
  <c r="F84" i="1"/>
  <c r="F128" i="1" s="1"/>
  <c r="E84" i="1"/>
  <c r="E128" i="1" s="1"/>
  <c r="D84" i="1"/>
  <c r="D128" i="1" s="1"/>
  <c r="C84" i="1"/>
  <c r="C128" i="1" s="1"/>
  <c r="B84" i="1"/>
  <c r="B128" i="1" s="1"/>
  <c r="I83" i="1"/>
  <c r="I120" i="1" s="1"/>
  <c r="H83" i="1"/>
  <c r="H120" i="1" s="1"/>
  <c r="G83" i="1"/>
  <c r="G120" i="1" s="1"/>
  <c r="F83" i="1"/>
  <c r="F120" i="1" s="1"/>
  <c r="E83" i="1"/>
  <c r="E120" i="1" s="1"/>
  <c r="D83" i="1"/>
  <c r="D120" i="1" s="1"/>
  <c r="C83" i="1"/>
  <c r="C120" i="1" s="1"/>
  <c r="B83" i="1"/>
  <c r="B120" i="1" s="1"/>
  <c r="N52" i="1"/>
  <c r="N53" i="1"/>
  <c r="N51" i="1"/>
  <c r="I34" i="1"/>
  <c r="I66" i="1" s="1"/>
  <c r="H34" i="1"/>
  <c r="H66" i="1" s="1"/>
  <c r="G34" i="1"/>
  <c r="G66" i="1" s="1"/>
  <c r="F34" i="1"/>
  <c r="F66" i="1" s="1"/>
  <c r="E34" i="1"/>
  <c r="E66" i="1" s="1"/>
  <c r="D34" i="1"/>
  <c r="D66" i="1" s="1"/>
  <c r="C34" i="1"/>
  <c r="C66" i="1" s="1"/>
  <c r="B34" i="1"/>
  <c r="B66" i="1" s="1"/>
  <c r="I33" i="1"/>
  <c r="I58" i="1" s="1"/>
  <c r="H33" i="1"/>
  <c r="H58" i="1" s="1"/>
  <c r="G33" i="1"/>
  <c r="G58" i="1" s="1"/>
  <c r="F33" i="1"/>
  <c r="F58" i="1" s="1"/>
  <c r="E33" i="1"/>
  <c r="E58" i="1" s="1"/>
  <c r="D33" i="1"/>
  <c r="D58" i="1" s="1"/>
  <c r="C33" i="1"/>
  <c r="C58" i="1" s="1"/>
  <c r="B33" i="1"/>
  <c r="B58" i="1" s="1"/>
  <c r="C47" i="1"/>
  <c r="C59" i="1" s="1"/>
  <c r="I48" i="1"/>
  <c r="I67" i="1" s="1"/>
  <c r="H48" i="1"/>
  <c r="H67" i="1" s="1"/>
  <c r="G48" i="1"/>
  <c r="G67" i="1" s="1"/>
  <c r="F48" i="1"/>
  <c r="F67" i="1" s="1"/>
  <c r="E48" i="1"/>
  <c r="E67" i="1" s="1"/>
  <c r="D48" i="1"/>
  <c r="D67" i="1" s="1"/>
  <c r="C48" i="1"/>
  <c r="C67" i="1" s="1"/>
  <c r="B48" i="1"/>
  <c r="B67" i="1" s="1"/>
  <c r="I47" i="1"/>
  <c r="I59" i="1" s="1"/>
  <c r="H47" i="1"/>
  <c r="H59" i="1" s="1"/>
  <c r="G47" i="1"/>
  <c r="G59" i="1" s="1"/>
  <c r="F47" i="1"/>
  <c r="F59" i="1" s="1"/>
  <c r="E47" i="1"/>
  <c r="E59" i="1" s="1"/>
  <c r="D47" i="1"/>
  <c r="D59" i="1" s="1"/>
  <c r="B47" i="1"/>
  <c r="B59" i="1" s="1"/>
  <c r="B7" i="1"/>
  <c r="C7" i="1"/>
  <c r="G21" i="1"/>
  <c r="G65" i="1" s="1"/>
  <c r="E65" i="1"/>
  <c r="D65" i="1"/>
  <c r="C65" i="1"/>
  <c r="B65" i="1"/>
  <c r="I57" i="1"/>
  <c r="E57" i="1"/>
  <c r="I7" i="1"/>
  <c r="H7" i="1"/>
  <c r="G7" i="1"/>
  <c r="F7" i="1"/>
  <c r="E7" i="1"/>
  <c r="D7" i="1"/>
  <c r="K185" i="1" l="1"/>
  <c r="K184" i="1"/>
  <c r="K192" i="1"/>
  <c r="J192" i="1"/>
  <c r="J184" i="1"/>
  <c r="J183" i="1"/>
  <c r="K183" i="1"/>
  <c r="J191" i="1"/>
  <c r="K191" i="1"/>
  <c r="J193" i="1"/>
  <c r="K193" i="1"/>
  <c r="J185" i="1"/>
  <c r="J122" i="1"/>
  <c r="K122" i="1"/>
  <c r="K121" i="1"/>
  <c r="J129" i="1"/>
  <c r="K129" i="1"/>
  <c r="J121" i="1"/>
  <c r="J120" i="1"/>
  <c r="K120" i="1"/>
  <c r="J128" i="1"/>
  <c r="K128" i="1"/>
  <c r="J130" i="1"/>
  <c r="K130" i="1"/>
  <c r="K57" i="1"/>
  <c r="F57" i="1"/>
  <c r="H57" i="1"/>
  <c r="K58" i="1"/>
  <c r="K59" i="1"/>
  <c r="K67" i="1"/>
  <c r="J59" i="1"/>
  <c r="O53" i="1" s="1"/>
  <c r="J67" i="1"/>
  <c r="K65" i="1"/>
  <c r="J65" i="1"/>
  <c r="J66" i="1"/>
  <c r="K66" i="1"/>
  <c r="J57" i="1" l="1"/>
  <c r="O51" i="1" s="1"/>
  <c r="J58" i="1"/>
  <c r="O52" i="1" s="1"/>
</calcChain>
</file>

<file path=xl/sharedStrings.xml><?xml version="1.0" encoding="utf-8"?>
<sst xmlns="http://schemas.openxmlformats.org/spreadsheetml/2006/main" count="486" uniqueCount="52">
  <si>
    <t>FORD01</t>
  </si>
  <si>
    <t>FORD02</t>
  </si>
  <si>
    <t>FORD03</t>
  </si>
  <si>
    <t>FORD04</t>
  </si>
  <si>
    <t>GREEDY</t>
  </si>
  <si>
    <t>Tamaño</t>
  </si>
  <si>
    <t>Minimo global</t>
  </si>
  <si>
    <t>Sol</t>
  </si>
  <si>
    <t>Time</t>
  </si>
  <si>
    <t>Ejecución</t>
  </si>
  <si>
    <t>Media</t>
  </si>
  <si>
    <t>Ejecución 1</t>
  </si>
  <si>
    <t>Ejecución 2</t>
  </si>
  <si>
    <t>Ejecución 3</t>
  </si>
  <si>
    <t>Ejecución 4</t>
  </si>
  <si>
    <t>Ejecución 5</t>
  </si>
  <si>
    <t>Desv. típica</t>
  </si>
  <si>
    <t>MEDIA</t>
  </si>
  <si>
    <t>Desv</t>
  </si>
  <si>
    <t>.</t>
  </si>
  <si>
    <t>MGen: Cruce=OX2, M=100, E=1, kBest=2, kWorst=3, evaluaciones: 1000, iteraciones: 10</t>
  </si>
  <si>
    <t>MEMÉTICO</t>
  </si>
  <si>
    <t>MGen: Cruce=OX2, M=100, E=1, kBest=2, kWorst=3, evaluaciones: 1000, iteraciones: 50</t>
  </si>
  <si>
    <t>MGen: Cruce=OX2, M=100, E=1, kBest=2, kWorst=3, evaluaciones: 1000, iteraciones: 100</t>
  </si>
  <si>
    <t>EVALUACIONES 2000</t>
  </si>
  <si>
    <t>EVALUACIONES 1000</t>
  </si>
  <si>
    <t>MGen: Cruce=OX2, M=100, E=1, kBest=2, kWorst=3, evaluaciones: 2000, iteraciones: 10</t>
  </si>
  <si>
    <t>MGen: Cruce=OX2, M=100, E=1, kBest=2, kWorst=3, evaluaciones: 2000, iteraciones: 50</t>
  </si>
  <si>
    <t>MGen: Cruce=OX2, M=100, E=1, kBest=2, kWorst=3, evaluaciones: 2000, iteraciones: 100</t>
  </si>
  <si>
    <t>EVALUACIONES_TABU = 2000</t>
  </si>
  <si>
    <t>EVALUACIONES_TABU = 1000</t>
  </si>
  <si>
    <t>EVALUACIONES 5000</t>
  </si>
  <si>
    <t>EVALUACIONES_TABU = 5000</t>
  </si>
  <si>
    <t>MGen: Cruce=OX2, M=100, E=1, kBest=2, kWorst=3, evaluaciones: 5000, iteraciones: 10</t>
  </si>
  <si>
    <t>MGen: Cruce=OX2, M=100, E=1, kBest=2, kWorst=3, evaluaciones: 5000, iteraciones: 50</t>
  </si>
  <si>
    <t>MGen: Cruce=OX2, M=100, E=1, kBest=2, kWorst=3, evaluaciones: 5000, iteraciones: 100</t>
  </si>
  <si>
    <t>iteraciones: 100</t>
  </si>
  <si>
    <t>iteraciones: 50</t>
  </si>
  <si>
    <t>iteraciones: 10</t>
  </si>
  <si>
    <t>Tiempo de ejecución medio</t>
  </si>
  <si>
    <t>Tiempo de ejecución medio (s)</t>
  </si>
  <si>
    <t>Mejor de los meméticos</t>
  </si>
  <si>
    <t>Evaluaciones: 1000. Iteraciones: 100</t>
  </si>
  <si>
    <t>Mejor memético</t>
  </si>
  <si>
    <t>Evaluaciones: 2000. Iteraciones: 100</t>
  </si>
  <si>
    <t>Evaluaciones: 5000. Iteraciones: 100</t>
  </si>
  <si>
    <t>Error medio mejores meméticos</t>
  </si>
  <si>
    <t>Mejor algoritmo</t>
  </si>
  <si>
    <t>Generacional Cruce=MOC, E=2, kBest=3, kWorst=3</t>
  </si>
  <si>
    <t>TABU. Tenencia=3, oscilación=0,5, estancamiento=0,05</t>
  </si>
  <si>
    <t>Error medio mejor algoritmo (menos es mejor)</t>
  </si>
  <si>
    <t>Mejores algoritmos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</si>
</sst>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sz val="11"/>
      <name val="Calibri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2"/>
      <color rgb="FF000000"/>
      <name val="Times New Roman"/>
      <family val="1"/>
    </font>
    <font>
      <b/>
      <sz val="20"/>
      <color rgb="FF980000"/>
      <name val="Calibri"/>
      <family val="2"/>
      <scheme val="minor"/>
    </font>
    <font>
      <b/>
      <sz val="12"/>
      <color rgb="FF000000"/>
      <name val="Times New Roman"/>
      <family val="1"/>
    </font>
    <font>
      <sz val="18"/>
      <color rgb="FF000000"/>
      <name val="Calibri"/>
      <family val="2"/>
    </font>
    <font>
      <u/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8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  <fill>
      <patternFill patternType="solid">
        <fgColor theme="0"/>
        <bgColor rgb="FFFFFF00"/>
      </patternFill>
    </fill>
  </fills>
  <borders count="4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/>
      <right style="double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5" fillId="3" borderId="3" xfId="0" applyFont="1" applyFill="1" applyBorder="1"/>
    <xf numFmtId="0" fontId="1" fillId="3" borderId="3" xfId="0" applyFont="1" applyFill="1" applyBorder="1" applyAlignment="1">
      <alignment horizontal="right"/>
    </xf>
    <xf numFmtId="0" fontId="6" fillId="0" borderId="9" xfId="0" applyFont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2" fontId="8" fillId="0" borderId="12" xfId="0" applyNumberFormat="1" applyFont="1" applyBorder="1" applyAlignment="1">
      <alignment horizontal="center" vertical="top" wrapText="1"/>
    </xf>
    <xf numFmtId="2" fontId="8" fillId="0" borderId="13" xfId="0" applyNumberFormat="1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10" fontId="10" fillId="0" borderId="15" xfId="0" applyNumberFormat="1" applyFont="1" applyBorder="1" applyAlignment="1">
      <alignment horizontal="center" vertical="top" wrapText="1"/>
    </xf>
    <xf numFmtId="2" fontId="10" fillId="0" borderId="15" xfId="0" applyNumberFormat="1" applyFont="1" applyBorder="1" applyAlignment="1">
      <alignment horizontal="center" vertical="top" wrapText="1"/>
    </xf>
    <xf numFmtId="0" fontId="12" fillId="3" borderId="17" xfId="0" applyFont="1" applyFill="1" applyBorder="1" applyAlignment="1">
      <alignment horizontal="left" vertical="center"/>
    </xf>
    <xf numFmtId="0" fontId="13" fillId="3" borderId="18" xfId="0" applyFont="1" applyFill="1" applyBorder="1" applyAlignment="1">
      <alignment horizontal="right" vertical="center"/>
    </xf>
    <xf numFmtId="0" fontId="12" fillId="3" borderId="18" xfId="0" applyFont="1" applyFill="1" applyBorder="1" applyAlignment="1">
      <alignment horizontal="left" vertical="center"/>
    </xf>
    <xf numFmtId="0" fontId="14" fillId="0" borderId="23" xfId="0" applyFont="1" applyBorder="1" applyAlignment="1">
      <alignment horizontal="center" vertical="top" wrapText="1"/>
    </xf>
    <xf numFmtId="0" fontId="9" fillId="0" borderId="10" xfId="0" applyFont="1" applyBorder="1" applyAlignment="1">
      <alignment horizontal="center" vertical="top" wrapText="1"/>
    </xf>
    <xf numFmtId="0" fontId="9" fillId="0" borderId="24" xfId="0" applyFont="1" applyBorder="1" applyAlignment="1">
      <alignment horizontal="center" vertical="top" wrapText="1"/>
    </xf>
    <xf numFmtId="0" fontId="9" fillId="0" borderId="25" xfId="0" applyFont="1" applyBorder="1" applyAlignment="1">
      <alignment horizontal="center" vertical="top" wrapText="1"/>
    </xf>
    <xf numFmtId="2" fontId="10" fillId="4" borderId="26" xfId="0" applyNumberFormat="1" applyFont="1" applyFill="1" applyBorder="1" applyAlignment="1">
      <alignment horizontal="center" vertical="top" wrapText="1"/>
    </xf>
    <xf numFmtId="2" fontId="10" fillId="4" borderId="27" xfId="0" applyNumberFormat="1" applyFont="1" applyFill="1" applyBorder="1" applyAlignment="1">
      <alignment horizontal="center" vertical="top" wrapText="1"/>
    </xf>
    <xf numFmtId="2" fontId="10" fillId="4" borderId="28" xfId="0" applyNumberFormat="1" applyFont="1" applyFill="1" applyBorder="1" applyAlignment="1">
      <alignment horizontal="center" vertical="top" wrapText="1"/>
    </xf>
    <xf numFmtId="2" fontId="10" fillId="4" borderId="29" xfId="0" applyNumberFormat="1" applyFont="1" applyFill="1" applyBorder="1" applyAlignment="1">
      <alignment horizontal="center" vertical="top" wrapText="1"/>
    </xf>
    <xf numFmtId="0" fontId="9" fillId="0" borderId="30" xfId="0" applyFont="1" applyBorder="1" applyAlignment="1">
      <alignment horizontal="center" vertical="top" wrapText="1"/>
    </xf>
    <xf numFmtId="0" fontId="9" fillId="0" borderId="31" xfId="0" applyFont="1" applyBorder="1" applyAlignment="1">
      <alignment horizontal="center" vertical="top" wrapText="1"/>
    </xf>
    <xf numFmtId="2" fontId="10" fillId="4" borderId="32" xfId="0" applyNumberFormat="1" applyFont="1" applyFill="1" applyBorder="1" applyAlignment="1">
      <alignment horizontal="center" vertical="top" wrapText="1"/>
    </xf>
    <xf numFmtId="2" fontId="10" fillId="4" borderId="33" xfId="0" applyNumberFormat="1" applyFont="1" applyFill="1" applyBorder="1" applyAlignment="1">
      <alignment horizontal="center" vertical="top" wrapText="1"/>
    </xf>
    <xf numFmtId="2" fontId="10" fillId="4" borderId="34" xfId="0" applyNumberFormat="1" applyFont="1" applyFill="1" applyBorder="1" applyAlignment="1">
      <alignment horizontal="center" vertical="top" wrapText="1"/>
    </xf>
    <xf numFmtId="2" fontId="10" fillId="4" borderId="35" xfId="0" applyNumberFormat="1" applyFont="1" applyFill="1" applyBorder="1" applyAlignment="1">
      <alignment horizontal="center" vertical="top" wrapText="1"/>
    </xf>
    <xf numFmtId="2" fontId="10" fillId="0" borderId="36" xfId="0" applyNumberFormat="1" applyFont="1" applyBorder="1" applyAlignment="1">
      <alignment horizontal="center" vertical="top" wrapText="1"/>
    </xf>
    <xf numFmtId="0" fontId="15" fillId="0" borderId="0" xfId="0" applyFont="1"/>
    <xf numFmtId="0" fontId="14" fillId="5" borderId="41" xfId="0" applyFont="1" applyFill="1" applyBorder="1" applyAlignment="1">
      <alignment horizontal="center" vertical="top" wrapText="1"/>
    </xf>
    <xf numFmtId="0" fontId="9" fillId="5" borderId="42" xfId="0" applyFont="1" applyFill="1" applyBorder="1" applyAlignment="1">
      <alignment horizontal="center" vertical="top" wrapText="1"/>
    </xf>
    <xf numFmtId="2" fontId="10" fillId="5" borderId="43" xfId="0" applyNumberFormat="1" applyFont="1" applyFill="1" applyBorder="1" applyAlignment="1">
      <alignment horizontal="center" vertical="top" wrapText="1"/>
    </xf>
    <xf numFmtId="2" fontId="10" fillId="5" borderId="44" xfId="0" applyNumberFormat="1" applyFont="1" applyFill="1" applyBorder="1" applyAlignment="1">
      <alignment horizontal="center" vertical="top" wrapText="1"/>
    </xf>
    <xf numFmtId="2" fontId="10" fillId="0" borderId="45" xfId="0" applyNumberFormat="1" applyFont="1" applyBorder="1" applyAlignment="1">
      <alignment horizontal="center" vertical="top" wrapText="1"/>
    </xf>
    <xf numFmtId="1" fontId="8" fillId="0" borderId="12" xfId="0" applyNumberFormat="1" applyFont="1" applyBorder="1" applyAlignment="1">
      <alignment horizontal="center" vertical="top" wrapText="1"/>
    </xf>
    <xf numFmtId="0" fontId="9" fillId="0" borderId="35" xfId="0" applyFont="1" applyBorder="1" applyAlignment="1">
      <alignment horizontal="center" vertical="top" wrapText="1"/>
    </xf>
    <xf numFmtId="2" fontId="10" fillId="0" borderId="35" xfId="0" applyNumberFormat="1" applyFont="1" applyBorder="1" applyAlignment="1">
      <alignment horizontal="center" vertical="top" wrapText="1"/>
    </xf>
    <xf numFmtId="0" fontId="16" fillId="0" borderId="25" xfId="0" applyFont="1" applyBorder="1" applyAlignment="1">
      <alignment horizontal="center" vertical="top" wrapText="1"/>
    </xf>
    <xf numFmtId="0" fontId="18" fillId="0" borderId="1" xfId="0" applyFont="1" applyBorder="1"/>
    <xf numFmtId="10" fontId="0" fillId="0" borderId="0" xfId="0" applyNumberFormat="1"/>
    <xf numFmtId="10" fontId="10" fillId="0" borderId="36" xfId="0" applyNumberFormat="1" applyFont="1" applyBorder="1" applyAlignment="1">
      <alignment horizontal="center" vertical="top" wrapText="1"/>
    </xf>
    <xf numFmtId="10" fontId="10" fillId="0" borderId="45" xfId="0" applyNumberFormat="1" applyFont="1" applyBorder="1" applyAlignment="1">
      <alignment horizontal="center" vertical="top" wrapText="1"/>
    </xf>
    <xf numFmtId="10" fontId="10" fillId="5" borderId="43" xfId="0" applyNumberFormat="1" applyFont="1" applyFill="1" applyBorder="1" applyAlignment="1">
      <alignment horizontal="center" vertical="top" wrapText="1"/>
    </xf>
    <xf numFmtId="0" fontId="1" fillId="0" borderId="35" xfId="0" applyFont="1" applyBorder="1"/>
    <xf numFmtId="0" fontId="19" fillId="0" borderId="0" xfId="0" applyFont="1" applyAlignment="1">
      <alignment wrapText="1"/>
    </xf>
    <xf numFmtId="2" fontId="10" fillId="6" borderId="35" xfId="0" applyNumberFormat="1" applyFont="1" applyFill="1" applyBorder="1" applyAlignment="1">
      <alignment horizontal="center" vertical="top" wrapText="1"/>
    </xf>
    <xf numFmtId="10" fontId="10" fillId="0" borderId="28" xfId="0" applyNumberFormat="1" applyFont="1" applyBorder="1" applyAlignment="1">
      <alignment horizontal="center" vertical="top" wrapText="1"/>
    </xf>
    <xf numFmtId="10" fontId="10" fillId="0" borderId="46" xfId="0" applyNumberFormat="1" applyFont="1" applyBorder="1" applyAlignment="1">
      <alignment horizontal="center" vertical="top" wrapText="1"/>
    </xf>
    <xf numFmtId="2" fontId="10" fillId="0" borderId="28" xfId="0" applyNumberFormat="1" applyFont="1" applyBorder="1" applyAlignment="1">
      <alignment horizontal="center" vertical="top" wrapText="1"/>
    </xf>
    <xf numFmtId="2" fontId="10" fillId="0" borderId="46" xfId="0" applyNumberFormat="1" applyFont="1" applyBorder="1" applyAlignment="1">
      <alignment horizontal="center" vertical="top" wrapText="1"/>
    </xf>
    <xf numFmtId="0" fontId="19" fillId="0" borderId="47" xfId="0" applyFont="1" applyBorder="1" applyAlignment="1">
      <alignment wrapText="1"/>
    </xf>
    <xf numFmtId="0" fontId="19" fillId="0" borderId="48" xfId="0" applyFont="1" applyBorder="1" applyAlignment="1">
      <alignment wrapText="1"/>
    </xf>
    <xf numFmtId="2" fontId="0" fillId="0" borderId="0" xfId="0" applyNumberFormat="1"/>
    <xf numFmtId="0" fontId="19" fillId="0" borderId="35" xfId="0" applyFont="1" applyBorder="1" applyAlignment="1">
      <alignment wrapText="1"/>
    </xf>
    <xf numFmtId="0" fontId="5" fillId="0" borderId="35" xfId="0" applyFont="1" applyBorder="1"/>
    <xf numFmtId="2" fontId="21" fillId="0" borderId="0" xfId="0" applyNumberFormat="1" applyFont="1"/>
    <xf numFmtId="0" fontId="21" fillId="0" borderId="0" xfId="0" applyFont="1"/>
    <xf numFmtId="0" fontId="9" fillId="0" borderId="5" xfId="0" applyFont="1" applyBorder="1" applyAlignment="1">
      <alignment horizontal="center" vertical="top" wrapText="1"/>
    </xf>
    <xf numFmtId="0" fontId="9" fillId="0" borderId="37" xfId="0" applyFont="1" applyBorder="1" applyAlignment="1">
      <alignment horizontal="center" vertical="top" wrapText="1"/>
    </xf>
    <xf numFmtId="0" fontId="9" fillId="0" borderId="38" xfId="0" applyFont="1" applyBorder="1" applyAlignment="1">
      <alignment horizontal="center" vertical="top" wrapText="1"/>
    </xf>
    <xf numFmtId="0" fontId="9" fillId="0" borderId="39" xfId="0" applyFont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9" fillId="5" borderId="37" xfId="0" applyFont="1" applyFill="1" applyBorder="1" applyAlignment="1">
      <alignment horizontal="center" vertical="top" wrapText="1"/>
    </xf>
    <xf numFmtId="0" fontId="3" fillId="0" borderId="40" xfId="0" applyFont="1" applyBorder="1"/>
    <xf numFmtId="0" fontId="11" fillId="0" borderId="0" xfId="0" applyFont="1"/>
    <xf numFmtId="0" fontId="0" fillId="0" borderId="0" xfId="0"/>
    <xf numFmtId="0" fontId="17" fillId="2" borderId="16" xfId="0" applyFont="1" applyFill="1" applyBorder="1" applyAlignment="1">
      <alignment horizontal="center" vertical="center" wrapText="1"/>
    </xf>
    <xf numFmtId="0" fontId="20" fillId="0" borderId="2" xfId="0" applyFont="1" applyBorder="1"/>
    <xf numFmtId="0" fontId="20" fillId="0" borderId="8" xfId="0" applyFont="1" applyBorder="1"/>
    <xf numFmtId="0" fontId="12" fillId="3" borderId="19" xfId="0" applyFont="1" applyFill="1" applyBorder="1" applyAlignment="1">
      <alignment horizontal="left" vertical="center" wrapText="1"/>
    </xf>
    <xf numFmtId="0" fontId="3" fillId="0" borderId="21" xfId="0" applyFont="1" applyBorder="1"/>
    <xf numFmtId="0" fontId="13" fillId="3" borderId="20" xfId="0" applyFont="1" applyFill="1" applyBorder="1" applyAlignment="1">
      <alignment horizontal="right" vertical="center"/>
    </xf>
    <xf numFmtId="0" fontId="3" fillId="0" borderId="22" xfId="0" applyFont="1" applyBorder="1"/>
    <xf numFmtId="0" fontId="4" fillId="2" borderId="2" xfId="0" applyFont="1" applyFill="1" applyBorder="1" applyAlignment="1">
      <alignment horizontal="center" wrapText="1"/>
    </xf>
    <xf numFmtId="0" fontId="3" fillId="0" borderId="2" xfId="0" applyFont="1" applyBorder="1"/>
    <xf numFmtId="0" fontId="3" fillId="0" borderId="8" xfId="0" applyFont="1" applyBorder="1"/>
    <xf numFmtId="0" fontId="5" fillId="3" borderId="4" xfId="0" applyFont="1" applyFill="1" applyBorder="1" applyAlignment="1">
      <alignment wrapText="1"/>
    </xf>
    <xf numFmtId="0" fontId="3" fillId="0" borderId="6" xfId="0" applyFont="1" applyBorder="1"/>
    <xf numFmtId="0" fontId="1" fillId="3" borderId="5" xfId="0" applyFont="1" applyFill="1" applyBorder="1" applyAlignment="1">
      <alignment horizontal="right"/>
    </xf>
    <xf numFmtId="0" fontId="3" fillId="0" borderId="7" xfId="0" applyFont="1" applyBorder="1"/>
    <xf numFmtId="0" fontId="2" fillId="0" borderId="1" xfId="0" applyFont="1" applyBorder="1"/>
    <xf numFmtId="0" fontId="3" fillId="0" borderId="1" xfId="0" applyFont="1" applyBorder="1"/>
    <xf numFmtId="0" fontId="1" fillId="3" borderId="4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 medio (menos es mejor)</a:t>
            </a:r>
          </a:p>
          <a:p>
            <a:pPr>
              <a:defRPr/>
            </a:pPr>
            <a:r>
              <a:rPr lang="es-ES"/>
              <a:t>1000 evaluaciones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Hoja1!$O$50</c:f>
              <c:strCache>
                <c:ptCount val="1"/>
                <c:pt idx="0">
                  <c:v>Media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3A-443E-A807-A7FF352935D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3A-443E-A807-A7FF352935D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33A-443E-A807-A7FF352935D0}"/>
              </c:ext>
            </c:extLst>
          </c:dPt>
          <c:cat>
            <c:strRef>
              <c:f>Hoja1!$N$51:$N$53</c:f>
              <c:strCache>
                <c:ptCount val="3"/>
                <c:pt idx="0">
                  <c:v>iteraciones: 10</c:v>
                </c:pt>
                <c:pt idx="1">
                  <c:v>iteraciones: 50</c:v>
                </c:pt>
                <c:pt idx="2">
                  <c:v>iteraciones: 100</c:v>
                </c:pt>
              </c:strCache>
            </c:strRef>
          </c:cat>
          <c:val>
            <c:numRef>
              <c:f>Hoja1!$O$51:$O$53</c:f>
              <c:numCache>
                <c:formatCode>0.00%</c:formatCode>
                <c:ptCount val="3"/>
                <c:pt idx="0">
                  <c:v>0.1167805683395499</c:v>
                </c:pt>
                <c:pt idx="1">
                  <c:v>6.0584367350993373E-2</c:v>
                </c:pt>
                <c:pt idx="2">
                  <c:v>5.3168359680024556E-2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E6-4E54-98AF-B4CE031A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522128"/>
        <c:axId val="1141523568"/>
      </c:barChart>
      <c:catAx>
        <c:axId val="114152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1523568"/>
        <c:crosses val="autoZero"/>
        <c:auto val="1"/>
        <c:lblAlgn val="ctr"/>
        <c:lblOffset val="100"/>
        <c:noMultiLvlLbl val="0"/>
      </c:catAx>
      <c:valAx>
        <c:axId val="114152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152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Error medio (menos es mejor)</a:t>
            </a:r>
          </a:p>
          <a:p>
            <a:pPr>
              <a:defRPr/>
            </a:pPr>
            <a:r>
              <a:rPr lang="es-ES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2000 evaluaciones</a:t>
            </a:r>
          </a:p>
        </c:rich>
      </c:tx>
      <c:layout>
        <c:manualLayout>
          <c:xMode val="edge"/>
          <c:yMode val="edge"/>
          <c:x val="0.25491666666666662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Hoja1!$O$113</c:f>
              <c:strCache>
                <c:ptCount val="1"/>
                <c:pt idx="0">
                  <c:v>Media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0AB-4733-9C25-2801ECF9C0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0AB-4733-9C25-2801ECF9C00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0AB-4733-9C25-2801ECF9C00F}"/>
              </c:ext>
            </c:extLst>
          </c:dPt>
          <c:cat>
            <c:strRef>
              <c:f>Hoja1!$N$114:$N$116</c:f>
              <c:strCache>
                <c:ptCount val="3"/>
                <c:pt idx="0">
                  <c:v>iteraciones: 10</c:v>
                </c:pt>
                <c:pt idx="1">
                  <c:v>iteraciones: 50</c:v>
                </c:pt>
                <c:pt idx="2">
                  <c:v>iteraciones: 100</c:v>
                </c:pt>
              </c:strCache>
            </c:strRef>
          </c:cat>
          <c:val>
            <c:numRef>
              <c:f>Hoja1!$O$114:$O$116</c:f>
              <c:numCache>
                <c:formatCode>0.00%</c:formatCode>
                <c:ptCount val="3"/>
                <c:pt idx="0">
                  <c:v>0.11489071392328758</c:v>
                </c:pt>
                <c:pt idx="1">
                  <c:v>4.6143467206719413E-2</c:v>
                </c:pt>
                <c:pt idx="2">
                  <c:v>3.6533721148668957E-2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4-4284-936F-463732B8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2634976"/>
        <c:axId val="1172635456"/>
      </c:barChart>
      <c:catAx>
        <c:axId val="117263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2635456"/>
        <c:crosses val="autoZero"/>
        <c:auto val="1"/>
        <c:lblAlgn val="ctr"/>
        <c:lblOffset val="100"/>
        <c:noMultiLvlLbl val="0"/>
      </c:catAx>
      <c:valAx>
        <c:axId val="117263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263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Error medio (menos es mejor)</a:t>
            </a:r>
          </a:p>
          <a:p>
            <a:pPr>
              <a:defRPr/>
            </a:pPr>
            <a:r>
              <a:rPr lang="es-ES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5000 evaluaciones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Hoja1!$O$176</c:f>
              <c:strCache>
                <c:ptCount val="1"/>
                <c:pt idx="0">
                  <c:v>Media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D08-493C-A930-B9452CDC00D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D08-493C-A930-B9452CDC00D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D08-493C-A930-B9452CDC00D0}"/>
              </c:ext>
            </c:extLst>
          </c:dPt>
          <c:cat>
            <c:strRef>
              <c:f>Hoja1!$N$177:$N$179</c:f>
              <c:strCache>
                <c:ptCount val="3"/>
                <c:pt idx="0">
                  <c:v>iteraciones: 10</c:v>
                </c:pt>
                <c:pt idx="1">
                  <c:v>iteraciones: 50</c:v>
                </c:pt>
                <c:pt idx="2">
                  <c:v>iteraciones: 100</c:v>
                </c:pt>
              </c:strCache>
            </c:strRef>
          </c:cat>
          <c:val>
            <c:numRef>
              <c:f>Hoja1!$O$177:$O$179</c:f>
              <c:numCache>
                <c:formatCode>0.00%</c:formatCode>
                <c:ptCount val="3"/>
                <c:pt idx="0">
                  <c:v>0.11123933620710502</c:v>
                </c:pt>
                <c:pt idx="1">
                  <c:v>6.525970418507307E-2</c:v>
                </c:pt>
                <c:pt idx="2">
                  <c:v>5.4154608091522428E-2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93-4413-ADD1-E77CC4B28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2048703"/>
        <c:axId val="1134890064"/>
      </c:barChart>
      <c:catAx>
        <c:axId val="1002048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4890064"/>
        <c:crosses val="autoZero"/>
        <c:auto val="1"/>
        <c:lblAlgn val="ctr"/>
        <c:lblOffset val="100"/>
        <c:noMultiLvlLbl val="0"/>
      </c:catAx>
      <c:valAx>
        <c:axId val="113489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4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de ejecución medio (s)</a:t>
            </a:r>
          </a:p>
          <a:p>
            <a:pPr>
              <a:defRPr/>
            </a:pPr>
            <a:r>
              <a:rPr lang="en-US"/>
              <a:t>5000 evaluaciones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Hoja1!$O$182</c:f>
              <c:strCache>
                <c:ptCount val="1"/>
                <c:pt idx="0">
                  <c:v>Tiempo de ejecución medio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74-4FB1-A067-B55BB52A7C4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874-4FB1-A067-B55BB52A7C4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874-4FB1-A067-B55BB52A7C43}"/>
              </c:ext>
            </c:extLst>
          </c:dPt>
          <c:cat>
            <c:strRef>
              <c:f>Hoja1!$N$183:$N$185</c:f>
              <c:strCache>
                <c:ptCount val="3"/>
                <c:pt idx="0">
                  <c:v>iteraciones: 10</c:v>
                </c:pt>
                <c:pt idx="1">
                  <c:v>iteraciones: 50</c:v>
                </c:pt>
                <c:pt idx="2">
                  <c:v>iteraciones: 100</c:v>
                </c:pt>
              </c:strCache>
            </c:strRef>
          </c:cat>
          <c:val>
            <c:numRef>
              <c:f>Hoja1!$O$183:$O$185</c:f>
              <c:numCache>
                <c:formatCode>0.00</c:formatCode>
                <c:ptCount val="3"/>
                <c:pt idx="0">
                  <c:v>6.1295000000000002</c:v>
                </c:pt>
                <c:pt idx="1">
                  <c:v>6.6215000000000011</c:v>
                </c:pt>
                <c:pt idx="2">
                  <c:v>7.2081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A-4CD8-87E4-4B2528959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32709824"/>
        <c:axId val="668791327"/>
      </c:barChart>
      <c:catAx>
        <c:axId val="1132709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8791327"/>
        <c:crosses val="autoZero"/>
        <c:auto val="1"/>
        <c:lblAlgn val="ctr"/>
        <c:lblOffset val="100"/>
        <c:noMultiLvlLbl val="0"/>
      </c:catAx>
      <c:valAx>
        <c:axId val="668791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270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de ejecución medio (s)</a:t>
            </a:r>
          </a:p>
          <a:p>
            <a:pPr>
              <a:defRPr/>
            </a:pPr>
            <a:r>
              <a:rPr lang="en-US"/>
              <a:t>2000 Evaluaciones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Hoja1!$O$119</c:f>
              <c:strCache>
                <c:ptCount val="1"/>
                <c:pt idx="0">
                  <c:v>Tiempo de ejecución medio (s)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F44-4586-9142-F9A9F422143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44-4586-9142-F9A9F422143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F44-4586-9142-F9A9F422143B}"/>
              </c:ext>
            </c:extLst>
          </c:dPt>
          <c:cat>
            <c:strRef>
              <c:f>Hoja1!$N$120:$N$122</c:f>
              <c:strCache>
                <c:ptCount val="3"/>
                <c:pt idx="0">
                  <c:v>iteraciones: 10</c:v>
                </c:pt>
                <c:pt idx="1">
                  <c:v>iteraciones: 50</c:v>
                </c:pt>
                <c:pt idx="2">
                  <c:v>iteraciones: 100</c:v>
                </c:pt>
              </c:strCache>
            </c:strRef>
          </c:cat>
          <c:val>
            <c:numRef>
              <c:f>Hoja1!$O$120:$O$122</c:f>
              <c:numCache>
                <c:formatCode>0.00</c:formatCode>
                <c:ptCount val="3"/>
                <c:pt idx="0">
                  <c:v>6.3535000000000004</c:v>
                </c:pt>
                <c:pt idx="1">
                  <c:v>7.4105999999999996</c:v>
                </c:pt>
                <c:pt idx="2">
                  <c:v>8.3409999999999993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72-4247-B189-6AC4DE8C3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1592880"/>
        <c:axId val="1391599120"/>
      </c:barChart>
      <c:catAx>
        <c:axId val="1391592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91599120"/>
        <c:crosses val="autoZero"/>
        <c:auto val="1"/>
        <c:lblAlgn val="ctr"/>
        <c:lblOffset val="100"/>
        <c:noMultiLvlLbl val="0"/>
      </c:catAx>
      <c:valAx>
        <c:axId val="139159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91592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de ejecución medio (s)</a:t>
            </a:r>
          </a:p>
          <a:p>
            <a:pPr>
              <a:defRPr/>
            </a:pPr>
            <a:r>
              <a:rPr lang="en-US"/>
              <a:t>1000 Evaluaciones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Hoja1!$O$56</c:f>
              <c:strCache>
                <c:ptCount val="1"/>
                <c:pt idx="0">
                  <c:v>Tiempo de ejecución medio (s)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2C6-4D43-A44C-41A0E383574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C6-4D43-A44C-41A0E383574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C6-4D43-A44C-41A0E383574D}"/>
              </c:ext>
            </c:extLst>
          </c:dPt>
          <c:cat>
            <c:strRef>
              <c:f>Hoja1!$N$57:$N$59</c:f>
              <c:strCache>
                <c:ptCount val="3"/>
                <c:pt idx="0">
                  <c:v>iteraciones: 10</c:v>
                </c:pt>
                <c:pt idx="1">
                  <c:v>iteraciones: 50</c:v>
                </c:pt>
                <c:pt idx="2">
                  <c:v>iteraciones: 100</c:v>
                </c:pt>
              </c:strCache>
            </c:strRef>
          </c:cat>
          <c:val>
            <c:numRef>
              <c:f>Hoja1!$O$57:$O$59</c:f>
              <c:numCache>
                <c:formatCode>0.00</c:formatCode>
                <c:ptCount val="3"/>
                <c:pt idx="0">
                  <c:v>6.2415000000000003</c:v>
                </c:pt>
                <c:pt idx="1">
                  <c:v>8.6690000000000005</c:v>
                </c:pt>
                <c:pt idx="2">
                  <c:v>10.477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00-4745-A4E2-DC9D4149D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20233632"/>
        <c:axId val="1420231232"/>
      </c:barChart>
      <c:catAx>
        <c:axId val="1420233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0231232"/>
        <c:crosses val="autoZero"/>
        <c:auto val="1"/>
        <c:lblAlgn val="ctr"/>
        <c:lblOffset val="100"/>
        <c:noMultiLvlLbl val="0"/>
      </c:catAx>
      <c:valAx>
        <c:axId val="142023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0233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Hoja1!$O$201</c:f>
              <c:strCache>
                <c:ptCount val="1"/>
                <c:pt idx="0">
                  <c:v>Error medio mejores meméticos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Hoja1!$N$202:$N$204</c:f>
              <c:strCache>
                <c:ptCount val="3"/>
                <c:pt idx="0">
                  <c:v>Evaluaciones: 1000. Iteraciones: 100</c:v>
                </c:pt>
                <c:pt idx="1">
                  <c:v>Evaluaciones: 2000. Iteraciones: 100</c:v>
                </c:pt>
                <c:pt idx="2">
                  <c:v>Evaluaciones: 5000. Iteraciones: 100</c:v>
                </c:pt>
              </c:strCache>
            </c:strRef>
          </c:cat>
          <c:val>
            <c:numRef>
              <c:f>Hoja1!$O$202:$O$204</c:f>
              <c:numCache>
                <c:formatCode>0.00%</c:formatCode>
                <c:ptCount val="3"/>
                <c:pt idx="0">
                  <c:v>5.3168359680024556E-2</c:v>
                </c:pt>
                <c:pt idx="1">
                  <c:v>3.6533721148668957E-2</c:v>
                </c:pt>
                <c:pt idx="2">
                  <c:v>5.4154608091522428E-2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DA-4452-9569-7F0E34ECC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6230496"/>
        <c:axId val="1416234816"/>
      </c:barChart>
      <c:catAx>
        <c:axId val="141623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6234816"/>
        <c:crosses val="autoZero"/>
        <c:auto val="1"/>
        <c:lblAlgn val="ctr"/>
        <c:lblOffset val="100"/>
        <c:noMultiLvlLbl val="0"/>
      </c:catAx>
      <c:valAx>
        <c:axId val="141623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623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Hoja1!$O$209</c:f>
              <c:strCache>
                <c:ptCount val="1"/>
                <c:pt idx="0">
                  <c:v>Tiempo de ejecución medio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Hoja1!$N$210:$N$212</c:f>
              <c:strCache>
                <c:ptCount val="3"/>
                <c:pt idx="0">
                  <c:v>Evaluaciones: 1000. Iteraciones: 100</c:v>
                </c:pt>
                <c:pt idx="1">
                  <c:v>Evaluaciones: 2000. Iteraciones: 100</c:v>
                </c:pt>
                <c:pt idx="2">
                  <c:v>Evaluaciones: 5000. Iteraciones: 100</c:v>
                </c:pt>
              </c:strCache>
            </c:strRef>
          </c:cat>
          <c:val>
            <c:numRef>
              <c:f>Hoja1!$O$210:$O$212</c:f>
              <c:numCache>
                <c:formatCode>General</c:formatCode>
                <c:ptCount val="3"/>
                <c:pt idx="0">
                  <c:v>10.477</c:v>
                </c:pt>
                <c:pt idx="1">
                  <c:v>8.3409999999999993</c:v>
                </c:pt>
                <c:pt idx="2">
                  <c:v>7.2081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59-4ECA-8BDA-56CD25654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72583136"/>
        <c:axId val="1172585056"/>
      </c:barChart>
      <c:catAx>
        <c:axId val="11725831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2585056"/>
        <c:crosses val="autoZero"/>
        <c:auto val="1"/>
        <c:lblAlgn val="ctr"/>
        <c:lblOffset val="100"/>
        <c:noMultiLvlLbl val="0"/>
      </c:catAx>
      <c:valAx>
        <c:axId val="1172585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258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Hoja1!$O$222</c:f>
              <c:strCache>
                <c:ptCount val="1"/>
                <c:pt idx="0">
                  <c:v>Error medio mejor algoritmo (menos es mejor)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Hoja1!$N$223:$N$225</c:f>
              <c:strCache>
                <c:ptCount val="3"/>
                <c:pt idx="0">
                  <c:v>MGen: Cruce=OX2, M=100, E=1, kBest=2, kWorst=3, evaluaciones: 2000, iteraciones: 100</c:v>
                </c:pt>
                <c:pt idx="1">
                  <c:v>TABU. Tenencia=3, oscilación=0,5, estancamiento=0,05</c:v>
                </c:pt>
                <c:pt idx="2">
                  <c:v>Generacional Cruce=MOC, E=2, kBest=3, kWorst=3</c:v>
                </c:pt>
              </c:strCache>
            </c:strRef>
          </c:cat>
          <c:val>
            <c:numRef>
              <c:f>Hoja1!$O$223:$O$225</c:f>
              <c:numCache>
                <c:formatCode>0.00%</c:formatCode>
                <c:ptCount val="3"/>
                <c:pt idx="0">
                  <c:v>3.6533721148668957E-2</c:v>
                </c:pt>
                <c:pt idx="1">
                  <c:v>3.4099999999999998E-2</c:v>
                </c:pt>
                <c:pt idx="2">
                  <c:v>7.2300000000000003E-2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9-4790-BDC1-30CBB0EF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003359"/>
        <c:axId val="1261007199"/>
      </c:barChart>
      <c:catAx>
        <c:axId val="126100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007199"/>
        <c:crosses val="autoZero"/>
        <c:auto val="1"/>
        <c:lblAlgn val="ctr"/>
        <c:lblOffset val="100"/>
        <c:noMultiLvlLbl val="0"/>
      </c:catAx>
      <c:valAx>
        <c:axId val="126100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003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Hoja1!$O$230</c:f>
              <c:strCache>
                <c:ptCount val="1"/>
                <c:pt idx="0">
                  <c:v>Tiempo de ejecución medio (s)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Hoja1!$N$231:$N$233</c:f>
              <c:strCache>
                <c:ptCount val="3"/>
                <c:pt idx="0">
                  <c:v>MGen: Cruce=OX2, M=100, E=1, kBest=2, kWorst=3, evaluaciones: 2000, iteraciones: 100</c:v>
                </c:pt>
                <c:pt idx="1">
                  <c:v>TABU. Tenencia=3, oscilación=0,5, estancamiento=0,05</c:v>
                </c:pt>
                <c:pt idx="2">
                  <c:v>Generacional Cruce=MOC, E=2, kBest=3, kWorst=3</c:v>
                </c:pt>
              </c:strCache>
            </c:strRef>
          </c:cat>
          <c:val>
            <c:numRef>
              <c:f>Hoja1!$O$231:$O$233</c:f>
              <c:numCache>
                <c:formatCode>General</c:formatCode>
                <c:ptCount val="3"/>
                <c:pt idx="0">
                  <c:v>8.3409999999999993</c:v>
                </c:pt>
                <c:pt idx="1">
                  <c:v>38.5</c:v>
                </c:pt>
                <c:pt idx="2">
                  <c:v>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5-474C-B6EF-094384474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5811535"/>
        <c:axId val="1235813455"/>
      </c:barChart>
      <c:catAx>
        <c:axId val="1235811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813455"/>
        <c:crosses val="autoZero"/>
        <c:auto val="1"/>
        <c:lblAlgn val="ctr"/>
        <c:lblOffset val="100"/>
        <c:noMultiLvlLbl val="0"/>
      </c:catAx>
      <c:valAx>
        <c:axId val="123581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81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30</xdr:row>
      <xdr:rowOff>200025</xdr:rowOff>
    </xdr:from>
    <xdr:to>
      <xdr:col>17</xdr:col>
      <xdr:colOff>238125</xdr:colOff>
      <xdr:row>44</xdr:row>
      <xdr:rowOff>185737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6E3E9F8-DEF1-A279-5C0B-8F7CACF6E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176212</xdr:colOff>
      <xdr:row>94</xdr:row>
      <xdr:rowOff>66675</xdr:rowOff>
    </xdr:from>
    <xdr:to>
      <xdr:col>17</xdr:col>
      <xdr:colOff>576262</xdr:colOff>
      <xdr:row>109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519D181-F8FD-F2E2-4CCF-1AA55F0AF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661987</xdr:colOff>
      <xdr:row>178</xdr:row>
      <xdr:rowOff>9525</xdr:rowOff>
    </xdr:from>
    <xdr:to>
      <xdr:col>22</xdr:col>
      <xdr:colOff>366712</xdr:colOff>
      <xdr:row>193</xdr:row>
      <xdr:rowOff>4762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131DCBB-4F17-817D-D2C0-C4DDA146F4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652462</xdr:colOff>
      <xdr:row>179</xdr:row>
      <xdr:rowOff>57150</xdr:rowOff>
    </xdr:from>
    <xdr:to>
      <xdr:col>28</xdr:col>
      <xdr:colOff>519112</xdr:colOff>
      <xdr:row>193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6FE087D-5980-B837-24BB-016BDBC27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509587</xdr:colOff>
      <xdr:row>128</xdr:row>
      <xdr:rowOff>119062</xdr:rowOff>
    </xdr:from>
    <xdr:to>
      <xdr:col>18</xdr:col>
      <xdr:colOff>214312</xdr:colOff>
      <xdr:row>141</xdr:row>
      <xdr:rowOff>142875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18A07EE-032E-AD19-1457-F395E540A8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14287</xdr:colOff>
      <xdr:row>60</xdr:row>
      <xdr:rowOff>14286</xdr:rowOff>
    </xdr:from>
    <xdr:to>
      <xdr:col>19</xdr:col>
      <xdr:colOff>414337</xdr:colOff>
      <xdr:row>73</xdr:row>
      <xdr:rowOff>171449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8BF176D-D69C-706F-0916-8558530220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223837</xdr:colOff>
      <xdr:row>196</xdr:row>
      <xdr:rowOff>185737</xdr:rowOff>
    </xdr:from>
    <xdr:to>
      <xdr:col>23</xdr:col>
      <xdr:colOff>623887</xdr:colOff>
      <xdr:row>210</xdr:row>
      <xdr:rowOff>128587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836F270-9624-4BB5-D672-92C9AF1F3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4762</xdr:colOff>
      <xdr:row>195</xdr:row>
      <xdr:rowOff>176212</xdr:rowOff>
    </xdr:from>
    <xdr:to>
      <xdr:col>30</xdr:col>
      <xdr:colOff>33337</xdr:colOff>
      <xdr:row>213</xdr:row>
      <xdr:rowOff>109537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E50DE3D-0493-D2F9-9055-5DC940380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609600</xdr:colOff>
      <xdr:row>215</xdr:row>
      <xdr:rowOff>33336</xdr:rowOff>
    </xdr:from>
    <xdr:to>
      <xdr:col>26</xdr:col>
      <xdr:colOff>314325</xdr:colOff>
      <xdr:row>227</xdr:row>
      <xdr:rowOff>171450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19992BF-96DF-BCC9-83A2-4461A940F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614361</xdr:colOff>
      <xdr:row>228</xdr:row>
      <xdr:rowOff>176212</xdr:rowOff>
    </xdr:from>
    <xdr:to>
      <xdr:col>28</xdr:col>
      <xdr:colOff>76199</xdr:colOff>
      <xdr:row>241</xdr:row>
      <xdr:rowOff>95250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4E9DDED-9769-4867-CBE1-35AB2E7D23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4926F7-2A8B-420A-9355-DD52CBDADD69}">
  <we:reference id="wa200003987" version="1.0.0.5" store="es-ES" storeType="OMEX"/>
  <we:alternateReferences>
    <we:reference id="wa200003987" version="1.0.0.5" store="wa20000398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25"/>
  <sheetViews>
    <sheetView tabSelected="1" topLeftCell="A167" workbookViewId="0">
      <selection activeCell="H191" sqref="H191"/>
    </sheetView>
  </sheetViews>
  <sheetFormatPr baseColWidth="10" defaultColWidth="14.42578125" defaultRowHeight="15" customHeight="1" x14ac:dyDescent="0.25"/>
  <cols>
    <col min="1" max="1" width="34" customWidth="1"/>
    <col min="2" max="2" width="12.42578125" customWidth="1"/>
    <col min="3" max="3" width="9.85546875" customWidth="1"/>
    <col min="4" max="4" width="12.42578125" customWidth="1"/>
    <col min="5" max="5" width="9.42578125" customWidth="1"/>
    <col min="6" max="6" width="12.42578125" customWidth="1"/>
    <col min="7" max="7" width="9.42578125" customWidth="1"/>
    <col min="8" max="8" width="12.42578125" customWidth="1"/>
    <col min="9" max="9" width="13.28515625" customWidth="1"/>
    <col min="10" max="26" width="10.42578125" customWidth="1"/>
  </cols>
  <sheetData>
    <row r="1" spans="1:26" ht="23.25" x14ac:dyDescent="0.35">
      <c r="A1" s="40"/>
      <c r="B1" s="82" t="s">
        <v>0</v>
      </c>
      <c r="C1" s="83"/>
      <c r="D1" s="82" t="s">
        <v>1</v>
      </c>
      <c r="E1" s="83"/>
      <c r="F1" s="82" t="s">
        <v>2</v>
      </c>
      <c r="G1" s="83"/>
      <c r="H1" s="82" t="s">
        <v>3</v>
      </c>
      <c r="I1" s="8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75" t="s">
        <v>4</v>
      </c>
      <c r="B2" s="2" t="s">
        <v>5</v>
      </c>
      <c r="C2" s="3">
        <v>20</v>
      </c>
      <c r="D2" s="2" t="s">
        <v>5</v>
      </c>
      <c r="E2" s="3">
        <v>20</v>
      </c>
      <c r="F2" s="2" t="s">
        <v>5</v>
      </c>
      <c r="G2" s="3">
        <v>30</v>
      </c>
      <c r="H2" s="2" t="s">
        <v>5</v>
      </c>
      <c r="I2" s="3">
        <v>30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76"/>
      <c r="B3" s="78" t="s">
        <v>6</v>
      </c>
      <c r="C3" s="80">
        <v>3542</v>
      </c>
      <c r="D3" s="78" t="s">
        <v>6</v>
      </c>
      <c r="E3" s="80">
        <v>26876</v>
      </c>
      <c r="F3" s="78" t="s">
        <v>6</v>
      </c>
      <c r="G3" s="80">
        <v>13292</v>
      </c>
      <c r="H3" s="78" t="s">
        <v>6</v>
      </c>
      <c r="I3" s="84">
        <v>150528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76"/>
      <c r="B4" s="79"/>
      <c r="C4" s="81"/>
      <c r="D4" s="79"/>
      <c r="E4" s="81"/>
      <c r="F4" s="79"/>
      <c r="G4" s="81"/>
      <c r="H4" s="79"/>
      <c r="I4" s="7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x14ac:dyDescent="0.25">
      <c r="A5" s="77"/>
      <c r="B5" s="4" t="s">
        <v>7</v>
      </c>
      <c r="C5" s="5" t="s">
        <v>8</v>
      </c>
      <c r="D5" s="4" t="s">
        <v>7</v>
      </c>
      <c r="E5" s="5" t="s">
        <v>8</v>
      </c>
      <c r="F5" s="4" t="s">
        <v>7</v>
      </c>
      <c r="G5" s="5" t="s">
        <v>8</v>
      </c>
      <c r="H5" s="4" t="s">
        <v>7</v>
      </c>
      <c r="I5" s="5" t="s">
        <v>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x14ac:dyDescent="0.25">
      <c r="A6" s="6" t="s">
        <v>9</v>
      </c>
      <c r="B6" s="36">
        <v>3876</v>
      </c>
      <c r="C6" s="7">
        <v>1.25646591186523E-4</v>
      </c>
      <c r="D6" s="36">
        <v>32748</v>
      </c>
      <c r="E6" s="7">
        <v>1.15633010864257E-4</v>
      </c>
      <c r="F6" s="36">
        <v>13786</v>
      </c>
      <c r="G6" s="7">
        <v>2.41756439208984E-4</v>
      </c>
      <c r="H6" s="36">
        <v>188018</v>
      </c>
      <c r="I6" s="8">
        <v>2.33888626098632E-4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7.25" thickTop="1" thickBot="1" x14ac:dyDescent="0.3">
      <c r="A7" s="9" t="s">
        <v>10</v>
      </c>
      <c r="B7" s="10">
        <f>AVERAGE((B6-$C$3)/$C$3)</f>
        <v>9.42970073404856E-2</v>
      </c>
      <c r="C7" s="11">
        <f>C6</f>
        <v>1.25646591186523E-4</v>
      </c>
      <c r="D7" s="10">
        <f>AVERAGE((D6-$E$3)/$E$3)</f>
        <v>0.21848489358535497</v>
      </c>
      <c r="E7" s="11">
        <f>E6</f>
        <v>1.15633010864257E-4</v>
      </c>
      <c r="F7" s="10">
        <f>AVERAGE((F6-$G$3)/$G$3)</f>
        <v>3.7165212157688837E-2</v>
      </c>
      <c r="G7" s="11">
        <f>G6</f>
        <v>2.41756439208984E-4</v>
      </c>
      <c r="H7" s="10">
        <f>AVERAGE((H6-$I$3)/$I$3)</f>
        <v>0.24905665391156462</v>
      </c>
      <c r="I7" s="11">
        <f>I6</f>
        <v>2.33888626098632E-4</v>
      </c>
    </row>
    <row r="8" spans="1:26" x14ac:dyDescent="0.25">
      <c r="A8" s="56" t="s">
        <v>25</v>
      </c>
    </row>
    <row r="9" spans="1:26" ht="15.75" x14ac:dyDescent="0.25">
      <c r="B9" s="38"/>
      <c r="C9" s="45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7.25" thickBot="1" x14ac:dyDescent="0.4">
      <c r="A10" s="46" t="s">
        <v>20</v>
      </c>
      <c r="B10" s="66" t="s">
        <v>0</v>
      </c>
      <c r="C10" s="67"/>
      <c r="D10" s="66" t="s">
        <v>1</v>
      </c>
      <c r="E10" s="67"/>
      <c r="F10" s="66" t="s">
        <v>2</v>
      </c>
      <c r="G10" s="67"/>
      <c r="H10" s="66" t="s">
        <v>3</v>
      </c>
      <c r="I10" s="67"/>
    </row>
    <row r="11" spans="1:26" ht="13.5" customHeight="1" x14ac:dyDescent="0.25">
      <c r="A11" s="68" t="s">
        <v>21</v>
      </c>
      <c r="B11" s="12" t="s">
        <v>5</v>
      </c>
      <c r="C11" s="13">
        <v>20</v>
      </c>
      <c r="D11" s="14" t="s">
        <v>5</v>
      </c>
      <c r="E11" s="13">
        <v>20</v>
      </c>
      <c r="F11" s="14" t="s">
        <v>5</v>
      </c>
      <c r="G11" s="13">
        <v>30</v>
      </c>
      <c r="H11" s="14" t="s">
        <v>5</v>
      </c>
      <c r="I11" s="13">
        <v>30</v>
      </c>
    </row>
    <row r="12" spans="1:26" ht="15" customHeight="1" x14ac:dyDescent="0.25">
      <c r="A12" s="76"/>
      <c r="B12" s="71" t="s">
        <v>6</v>
      </c>
      <c r="C12" s="73">
        <v>3542</v>
      </c>
      <c r="D12" s="71" t="s">
        <v>6</v>
      </c>
      <c r="E12" s="73">
        <v>26876</v>
      </c>
      <c r="F12" s="71" t="s">
        <v>6</v>
      </c>
      <c r="G12" s="73">
        <v>13292</v>
      </c>
      <c r="H12" s="71" t="s">
        <v>6</v>
      </c>
      <c r="I12" s="73">
        <v>150528</v>
      </c>
    </row>
    <row r="13" spans="1:26" x14ac:dyDescent="0.25">
      <c r="A13" s="76"/>
      <c r="B13" s="72"/>
      <c r="C13" s="74"/>
      <c r="D13" s="72"/>
      <c r="E13" s="74"/>
      <c r="F13" s="72"/>
      <c r="G13" s="74"/>
      <c r="H13" s="72"/>
      <c r="I13" s="74"/>
    </row>
    <row r="14" spans="1:26" ht="17.25" thickTop="1" thickBot="1" x14ac:dyDescent="0.3">
      <c r="A14" s="77"/>
      <c r="B14" s="15" t="s">
        <v>7</v>
      </c>
      <c r="C14" s="16" t="s">
        <v>8</v>
      </c>
      <c r="D14" s="15" t="s">
        <v>7</v>
      </c>
      <c r="E14" s="17" t="s">
        <v>8</v>
      </c>
      <c r="F14" s="15" t="s">
        <v>7</v>
      </c>
      <c r="G14" s="16" t="s">
        <v>8</v>
      </c>
      <c r="H14" s="15" t="s">
        <v>7</v>
      </c>
      <c r="I14" s="17" t="s">
        <v>8</v>
      </c>
    </row>
    <row r="15" spans="1:26" ht="17.25" thickTop="1" thickBot="1" x14ac:dyDescent="0.3">
      <c r="A15" s="39" t="s">
        <v>11</v>
      </c>
      <c r="B15" s="19">
        <v>3622</v>
      </c>
      <c r="C15" s="20">
        <v>4.16</v>
      </c>
      <c r="D15" s="21">
        <v>31050</v>
      </c>
      <c r="E15" s="22">
        <v>3.96</v>
      </c>
      <c r="F15" s="19">
        <v>13398</v>
      </c>
      <c r="G15" s="20">
        <v>7.65</v>
      </c>
      <c r="H15" s="21">
        <v>177468</v>
      </c>
      <c r="I15" s="22">
        <v>7.8</v>
      </c>
    </row>
    <row r="16" spans="1:26" ht="16.5" thickBot="1" x14ac:dyDescent="0.3">
      <c r="A16" s="23" t="s">
        <v>12</v>
      </c>
      <c r="B16" s="19">
        <v>3608</v>
      </c>
      <c r="C16" s="20">
        <v>4.1100000000000003</v>
      </c>
      <c r="D16" s="21">
        <v>31260</v>
      </c>
      <c r="E16" s="22">
        <v>4.6399999999999997</v>
      </c>
      <c r="F16" s="19">
        <v>13358</v>
      </c>
      <c r="G16" s="20">
        <v>8.32</v>
      </c>
      <c r="H16" s="21">
        <v>178120</v>
      </c>
      <c r="I16" s="22">
        <v>8.31</v>
      </c>
      <c r="J16" s="47"/>
    </row>
    <row r="17" spans="1:9" ht="16.5" thickBot="1" x14ac:dyDescent="0.3">
      <c r="A17" s="23" t="s">
        <v>13</v>
      </c>
      <c r="B17" s="19">
        <v>3656</v>
      </c>
      <c r="C17" s="20">
        <v>4.2</v>
      </c>
      <c r="D17" s="21">
        <v>31148</v>
      </c>
      <c r="E17" s="22">
        <v>4.2</v>
      </c>
      <c r="F17" s="19">
        <v>13390</v>
      </c>
      <c r="G17" s="20">
        <v>8.5500000000000007</v>
      </c>
      <c r="H17" s="21">
        <v>175106</v>
      </c>
      <c r="I17" s="22">
        <v>8.42</v>
      </c>
    </row>
    <row r="18" spans="1:9" ht="16.5" thickBot="1" x14ac:dyDescent="0.3">
      <c r="A18" s="23" t="s">
        <v>14</v>
      </c>
      <c r="B18" s="19">
        <v>3628</v>
      </c>
      <c r="C18" s="20">
        <v>4.2300000000000004</v>
      </c>
      <c r="D18" s="21">
        <v>31128</v>
      </c>
      <c r="E18" s="22">
        <v>4.17</v>
      </c>
      <c r="F18" s="19">
        <v>13382</v>
      </c>
      <c r="G18" s="20">
        <v>8.42</v>
      </c>
      <c r="H18" s="21">
        <v>177878</v>
      </c>
      <c r="I18" s="22">
        <v>8.18</v>
      </c>
    </row>
    <row r="19" spans="1:9" ht="16.5" thickBot="1" x14ac:dyDescent="0.3">
      <c r="A19" s="24" t="s">
        <v>15</v>
      </c>
      <c r="B19" s="25">
        <v>3636</v>
      </c>
      <c r="C19" s="26">
        <v>4.49</v>
      </c>
      <c r="D19" s="27">
        <v>32028</v>
      </c>
      <c r="E19" s="28">
        <v>4.26</v>
      </c>
      <c r="F19" s="25">
        <v>13444</v>
      </c>
      <c r="G19" s="26">
        <v>8.1300000000000008</v>
      </c>
      <c r="H19" s="27">
        <v>177422</v>
      </c>
      <c r="I19" s="28">
        <v>8.6300000000000008</v>
      </c>
    </row>
    <row r="20" spans="1:9" ht="17.25" thickTop="1" thickBot="1" x14ac:dyDescent="0.3">
      <c r="A20" s="9" t="s">
        <v>10</v>
      </c>
      <c r="B20" s="10">
        <f>AVERAGE((B15-$C$12)/$C$12,(B16-$C$12)/$C$12,(B17-$C$12)/$C$12,(B18-$C$12)/$C$12,(B19-$C$12)/$C$12)</f>
        <v>2.4844720496894408E-2</v>
      </c>
      <c r="C20" s="11">
        <f>AVERAGE(C15:C19)</f>
        <v>4.2379999999999995</v>
      </c>
      <c r="D20" s="10">
        <f>AVERAGE((D15-$E$12)/$E$12,(D16-$E$12)/$E$12,(D17-$E$12)/$E$12,(D18-$E$12)/$E$12,(D19-$E$12)/$E$12)</f>
        <v>0.16545616907277869</v>
      </c>
      <c r="E20" s="11">
        <f>AVERAGE(E15:E19)</f>
        <v>4.2459999999999996</v>
      </c>
      <c r="F20" s="10">
        <f>AVERAGE((F15-$G$12)/$G$12,(F16-$G$12)/$G$12,(F17-$G$12)/$G$12,(F18-$G$12)/$G$12,(F19-$G$12)/$G$12)</f>
        <v>7.7038820343063499E-3</v>
      </c>
      <c r="G20" s="11">
        <f>AVERAGE(G15:G19)</f>
        <v>8.2140000000000022</v>
      </c>
      <c r="H20" s="10">
        <f>AVERAGE((H15-$I$12)/$I$12,(H16-$I$12)/$I$12,(H17-$I$12)/$I$12,(H18-$I$12)/$I$12,(H19-$I$12)/$I$12)</f>
        <v>0.17718165391156462</v>
      </c>
      <c r="I20" s="11">
        <f>AVERAGE(I15:I19)</f>
        <v>8.2680000000000007</v>
      </c>
    </row>
    <row r="21" spans="1:9" ht="16.5" thickBot="1" x14ac:dyDescent="0.3">
      <c r="A21" s="23" t="s">
        <v>16</v>
      </c>
      <c r="B21" s="29">
        <f>STDEV((B15-$C$12)/$C$12,(B16-$C$12)/$C$12,(B17-$C$12)/$C$12,(B18-$C$12)/$C$12,(B19-$C$12)/$C$12)</f>
        <v>5.0187433186423425E-3</v>
      </c>
      <c r="C21" s="29">
        <f>STDEV(C15:C19)</f>
        <v>0.14788509052639484</v>
      </c>
      <c r="D21" s="29">
        <f>STDEV((D15-$E$12)/$E$12,(D16-$E$12)/$E$12,(D17-$E$12)/$E$12,(D18-$E$12)/$E$12,(D19-$E$12)/$E$12)</f>
        <v>1.4931607433438271E-2</v>
      </c>
      <c r="E21" s="29">
        <f>STDEV(E15:E19)</f>
        <v>0.24754797514825269</v>
      </c>
      <c r="F21" s="29">
        <f>STDEV((F15-$G$12)/$G$12,(F16-$G$12)/$G$12,(F17-$G$12)/$G$12,(F18-$G$12)/$G$12,(F19-$G$12)/$G$12)</f>
        <v>2.3705032312137204E-3</v>
      </c>
      <c r="G21" s="29">
        <f>STDEV(G15:G19)</f>
        <v>0.35061374759127739</v>
      </c>
      <c r="H21" s="29">
        <f>STDEV((H15-$I$12)/$I$12,(H16-$I$12)/$I$12,(H17-$I$12)/$I$12,(H18-$I$12)/$I$12,(H19-$I$12)/$I$12)</f>
        <v>8.0078567002464778E-3</v>
      </c>
      <c r="I21" s="29">
        <f>STDEV(I15:I19)</f>
        <v>0.30930567405076842</v>
      </c>
    </row>
    <row r="22" spans="1:9" ht="15.75" x14ac:dyDescent="0.25">
      <c r="B22" s="38"/>
      <c r="C22" s="38"/>
      <c r="D22" s="38"/>
      <c r="E22" s="38"/>
      <c r="F22" s="38"/>
      <c r="G22" s="38"/>
      <c r="H22" s="38"/>
      <c r="I22" s="38"/>
    </row>
    <row r="23" spans="1:9" ht="47.25" thickBot="1" x14ac:dyDescent="0.4">
      <c r="A23" s="46" t="s">
        <v>22</v>
      </c>
      <c r="B23" s="66" t="s">
        <v>0</v>
      </c>
      <c r="C23" s="67"/>
      <c r="D23" s="66" t="s">
        <v>1</v>
      </c>
      <c r="E23" s="67"/>
      <c r="F23" s="66" t="s">
        <v>2</v>
      </c>
      <c r="G23" s="67"/>
      <c r="H23" s="66" t="s">
        <v>3</v>
      </c>
      <c r="I23" s="67"/>
    </row>
    <row r="24" spans="1:9" ht="15" customHeight="1" x14ac:dyDescent="0.25">
      <c r="A24" s="68" t="s">
        <v>21</v>
      </c>
      <c r="B24" s="12" t="s">
        <v>5</v>
      </c>
      <c r="C24" s="13">
        <v>20</v>
      </c>
      <c r="D24" s="14" t="s">
        <v>5</v>
      </c>
      <c r="E24" s="13">
        <v>20</v>
      </c>
      <c r="F24" s="14" t="s">
        <v>5</v>
      </c>
      <c r="G24" s="13">
        <v>30</v>
      </c>
      <c r="H24" s="14" t="s">
        <v>5</v>
      </c>
      <c r="I24" s="13">
        <v>30</v>
      </c>
    </row>
    <row r="25" spans="1:9" ht="15" customHeight="1" x14ac:dyDescent="0.25">
      <c r="A25" s="76"/>
      <c r="B25" s="71" t="s">
        <v>6</v>
      </c>
      <c r="C25" s="73">
        <v>3542</v>
      </c>
      <c r="D25" s="71" t="s">
        <v>6</v>
      </c>
      <c r="E25" s="73">
        <v>26876</v>
      </c>
      <c r="F25" s="71" t="s">
        <v>6</v>
      </c>
      <c r="G25" s="73">
        <v>13292</v>
      </c>
      <c r="H25" s="71" t="s">
        <v>6</v>
      </c>
      <c r="I25" s="73">
        <v>150528</v>
      </c>
    </row>
    <row r="26" spans="1:9" ht="15.75" thickBot="1" x14ac:dyDescent="0.3">
      <c r="A26" s="76"/>
      <c r="B26" s="72"/>
      <c r="C26" s="74"/>
      <c r="D26" s="72"/>
      <c r="E26" s="74"/>
      <c r="F26" s="72"/>
      <c r="G26" s="74"/>
      <c r="H26" s="72"/>
      <c r="I26" s="74"/>
    </row>
    <row r="27" spans="1:9" ht="17.25" thickTop="1" thickBot="1" x14ac:dyDescent="0.3">
      <c r="A27" s="77"/>
      <c r="B27" s="15" t="s">
        <v>7</v>
      </c>
      <c r="C27" s="16" t="s">
        <v>8</v>
      </c>
      <c r="D27" s="15" t="s">
        <v>7</v>
      </c>
      <c r="E27" s="17" t="s">
        <v>8</v>
      </c>
      <c r="F27" s="15" t="s">
        <v>7</v>
      </c>
      <c r="G27" s="16" t="s">
        <v>8</v>
      </c>
      <c r="H27" s="15" t="s">
        <v>7</v>
      </c>
      <c r="I27" s="17" t="s">
        <v>8</v>
      </c>
    </row>
    <row r="28" spans="1:9" ht="17.25" thickTop="1" thickBot="1" x14ac:dyDescent="0.3">
      <c r="A28" s="39" t="s">
        <v>11</v>
      </c>
      <c r="B28" s="19">
        <v>3626</v>
      </c>
      <c r="C28" s="20">
        <v>6.06</v>
      </c>
      <c r="D28" s="21">
        <v>31122</v>
      </c>
      <c r="E28" s="22">
        <v>6.74</v>
      </c>
      <c r="F28" s="19">
        <v>13362</v>
      </c>
      <c r="G28" s="20">
        <v>11.68</v>
      </c>
      <c r="H28" s="21">
        <v>176044</v>
      </c>
      <c r="I28" s="22">
        <v>11.63</v>
      </c>
    </row>
    <row r="29" spans="1:9" ht="16.5" thickBot="1" x14ac:dyDescent="0.3">
      <c r="A29" s="23" t="s">
        <v>12</v>
      </c>
      <c r="B29" s="19">
        <v>3612</v>
      </c>
      <c r="C29" s="20">
        <v>6.36</v>
      </c>
      <c r="D29" s="21">
        <v>29540</v>
      </c>
      <c r="E29" s="22">
        <v>6.8</v>
      </c>
      <c r="F29" s="19">
        <v>13330</v>
      </c>
      <c r="G29" s="20">
        <v>11.39</v>
      </c>
      <c r="H29" s="21">
        <v>150528</v>
      </c>
      <c r="I29" s="22">
        <v>11.16</v>
      </c>
    </row>
    <row r="30" spans="1:9" ht="16.5" thickBot="1" x14ac:dyDescent="0.3">
      <c r="A30" s="23" t="s">
        <v>13</v>
      </c>
      <c r="B30" s="19">
        <v>3596</v>
      </c>
      <c r="C30" s="20">
        <v>6.44</v>
      </c>
      <c r="D30" s="21">
        <v>30494</v>
      </c>
      <c r="E30" s="22">
        <v>6.27</v>
      </c>
      <c r="F30" s="19">
        <v>13358</v>
      </c>
      <c r="G30" s="20">
        <v>11.25</v>
      </c>
      <c r="H30" s="21">
        <v>176222</v>
      </c>
      <c r="I30" s="22">
        <v>10.98</v>
      </c>
    </row>
    <row r="31" spans="1:9" ht="16.5" thickBot="1" x14ac:dyDescent="0.3">
      <c r="A31" s="23" t="s">
        <v>14</v>
      </c>
      <c r="B31" s="19">
        <v>3616</v>
      </c>
      <c r="C31" s="20">
        <v>6.42</v>
      </c>
      <c r="D31" s="21">
        <v>31074</v>
      </c>
      <c r="E31" s="22">
        <v>5.98</v>
      </c>
      <c r="F31" s="19">
        <v>13340</v>
      </c>
      <c r="G31" s="20">
        <v>10.28</v>
      </c>
      <c r="H31" s="21">
        <v>174804</v>
      </c>
      <c r="I31" s="22">
        <v>10.64</v>
      </c>
    </row>
    <row r="32" spans="1:9" ht="17.25" customHeight="1" thickBot="1" x14ac:dyDescent="0.3">
      <c r="A32" s="24" t="s">
        <v>15</v>
      </c>
      <c r="B32" s="25">
        <v>3624</v>
      </c>
      <c r="C32" s="26">
        <v>6.31</v>
      </c>
      <c r="D32" s="27">
        <v>27950</v>
      </c>
      <c r="E32" s="28">
        <v>5.86</v>
      </c>
      <c r="F32" s="25">
        <v>13330</v>
      </c>
      <c r="G32" s="26">
        <v>10.82</v>
      </c>
      <c r="H32" s="27">
        <v>150528</v>
      </c>
      <c r="I32" s="28">
        <v>10.31</v>
      </c>
    </row>
    <row r="33" spans="1:9" ht="17.25" thickTop="1" thickBot="1" x14ac:dyDescent="0.3">
      <c r="A33" s="9" t="s">
        <v>10</v>
      </c>
      <c r="B33" s="10">
        <f>AVERAGE((B28-$C$12)/$C$12,(B29-$C$12)/$C$12,(B30-$C$12)/$C$12,(B31-$C$12)/$C$12,(B32-$C$12)/$C$12)</f>
        <v>2.0553359683794466E-2</v>
      </c>
      <c r="C33" s="11">
        <f>AVERAGE(C28:C32)</f>
        <v>6.3179999999999996</v>
      </c>
      <c r="D33" s="10">
        <f>AVERAGE((D28-$E$12)/$E$12,(D29-$E$12)/$E$12,(D30-$E$12)/$E$12,(D31-$E$12)/$E$12,(D32-$E$12)/$E$12)</f>
        <v>0.11757702038993896</v>
      </c>
      <c r="E33" s="11">
        <f>AVERAGE(E28:E32)</f>
        <v>6.33</v>
      </c>
      <c r="F33" s="10">
        <f>AVERAGE((F28-$G$12)/$G$12,(F29-$G$12)/$G$12,(F30-$G$12)/$G$12,(F31-$G$12)/$G$12,(F32-$G$12)/$G$12)</f>
        <v>3.9121275955461936E-3</v>
      </c>
      <c r="G33" s="11">
        <f>AVERAGE(G28:G32)</f>
        <v>11.084</v>
      </c>
      <c r="H33" s="10">
        <f>AVERAGE((H28-$I$12)/$I$12,(H29-$I$12)/$I$12,(H30-$I$12)/$I$12,(H31-$I$12)/$I$12,(H32-$I$12)/$I$12)</f>
        <v>0.10029496173469388</v>
      </c>
      <c r="I33" s="11">
        <f>AVERAGE(I28:I32)</f>
        <v>10.943999999999999</v>
      </c>
    </row>
    <row r="34" spans="1:9" ht="17.25" customHeight="1" thickBot="1" x14ac:dyDescent="0.3">
      <c r="A34" s="23" t="s">
        <v>16</v>
      </c>
      <c r="B34" s="29">
        <f>STDEV((B28-$C$12)/$C$12,(B29-$C$12)/$C$12,(B30-$C$12)/$C$12,(B31-$C$12)/$C$12,(B32-$C$12)/$C$12)</f>
        <v>3.3784924453193876E-3</v>
      </c>
      <c r="C34" s="29">
        <f>STDEV(C28:C32)</f>
        <v>0.15303594349041036</v>
      </c>
      <c r="D34" s="29">
        <f>STDEV((D28-$E$12)/$E$12,(D29-$E$12)/$E$12,(D30-$E$12)/$E$12,(D31-$E$12)/$E$12,(D32-$E$12)/$E$12)</f>
        <v>4.9446005068579511E-2</v>
      </c>
      <c r="E34" s="29">
        <f>STDEV(E28:E32)</f>
        <v>0.42895221179054416</v>
      </c>
      <c r="F34" s="29">
        <f>STDEV((F28-$G$12)/$G$12,(F29-$G$12)/$G$12,(F30-$G$12)/$G$12,(F31-$G$12)/$G$12,(F32-$G$12)/$G$12)</f>
        <v>1.1459183126487976E-3</v>
      </c>
      <c r="G34" s="29">
        <f>STDEV(G28:G32)</f>
        <v>0.54601282036230636</v>
      </c>
      <c r="H34" s="29">
        <f>STDEV((H28-$I$12)/$I$12,(H29-$I$12)/$I$12,(H30-$I$12)/$I$12,(H31-$I$12)/$I$12,(H32-$I$12)/$I$12)</f>
        <v>9.1628230139654612E-2</v>
      </c>
      <c r="I34" s="29">
        <f>STDEV(I28:I32)</f>
        <v>0.50321963395718183</v>
      </c>
    </row>
    <row r="35" spans="1:9" ht="15.75" x14ac:dyDescent="0.25">
      <c r="A35" s="37"/>
      <c r="B35" s="38"/>
      <c r="C35" s="38"/>
      <c r="D35" s="38"/>
      <c r="E35" s="38"/>
      <c r="F35" s="38"/>
      <c r="G35" s="38"/>
      <c r="H35" s="38"/>
      <c r="I35" s="38"/>
    </row>
    <row r="36" spans="1:9" ht="17.25" customHeight="1" x14ac:dyDescent="0.25">
      <c r="B36" s="38"/>
      <c r="C36" s="38"/>
      <c r="D36" s="38"/>
      <c r="E36" s="38"/>
      <c r="F36" s="38"/>
      <c r="G36" s="38"/>
      <c r="H36" s="38"/>
      <c r="I36" s="38"/>
    </row>
    <row r="37" spans="1:9" ht="47.25" thickBot="1" x14ac:dyDescent="0.4">
      <c r="A37" s="46" t="s">
        <v>23</v>
      </c>
      <c r="B37" s="66" t="s">
        <v>0</v>
      </c>
      <c r="C37" s="67"/>
      <c r="D37" s="66" t="s">
        <v>1</v>
      </c>
      <c r="E37" s="67"/>
      <c r="F37" s="66" t="s">
        <v>2</v>
      </c>
      <c r="G37" s="67"/>
      <c r="H37" s="66" t="s">
        <v>3</v>
      </c>
      <c r="I37" s="67"/>
    </row>
    <row r="38" spans="1:9" ht="15" customHeight="1" x14ac:dyDescent="0.25">
      <c r="A38" s="68" t="s">
        <v>21</v>
      </c>
      <c r="B38" s="12" t="s">
        <v>5</v>
      </c>
      <c r="C38" s="13">
        <v>20</v>
      </c>
      <c r="D38" s="14" t="s">
        <v>5</v>
      </c>
      <c r="E38" s="13">
        <v>20</v>
      </c>
      <c r="F38" s="14" t="s">
        <v>5</v>
      </c>
      <c r="G38" s="13">
        <v>30</v>
      </c>
      <c r="H38" s="14" t="s">
        <v>5</v>
      </c>
      <c r="I38" s="13">
        <v>30</v>
      </c>
    </row>
    <row r="39" spans="1:9" ht="15" customHeight="1" x14ac:dyDescent="0.25">
      <c r="A39" s="69"/>
      <c r="B39" s="71" t="s">
        <v>6</v>
      </c>
      <c r="C39" s="73">
        <v>3542</v>
      </c>
      <c r="D39" s="71" t="s">
        <v>6</v>
      </c>
      <c r="E39" s="73">
        <v>26876</v>
      </c>
      <c r="F39" s="71" t="s">
        <v>6</v>
      </c>
      <c r="G39" s="73">
        <v>13292</v>
      </c>
      <c r="H39" s="71" t="s">
        <v>6</v>
      </c>
      <c r="I39" s="73">
        <v>150528</v>
      </c>
    </row>
    <row r="40" spans="1:9" ht="15.75" thickBot="1" x14ac:dyDescent="0.3">
      <c r="A40" s="69"/>
      <c r="B40" s="72"/>
      <c r="C40" s="74"/>
      <c r="D40" s="72"/>
      <c r="E40" s="74"/>
      <c r="F40" s="72"/>
      <c r="G40" s="74"/>
      <c r="H40" s="72"/>
      <c r="I40" s="74"/>
    </row>
    <row r="41" spans="1:9" ht="17.25" thickTop="1" thickBot="1" x14ac:dyDescent="0.3">
      <c r="A41" s="70"/>
      <c r="B41" s="15" t="s">
        <v>7</v>
      </c>
      <c r="C41" s="16" t="s">
        <v>8</v>
      </c>
      <c r="D41" s="15" t="s">
        <v>7</v>
      </c>
      <c r="E41" s="17" t="s">
        <v>8</v>
      </c>
      <c r="F41" s="15" t="s">
        <v>7</v>
      </c>
      <c r="G41" s="16" t="s">
        <v>8</v>
      </c>
      <c r="H41" s="15" t="s">
        <v>7</v>
      </c>
      <c r="I41" s="17" t="s">
        <v>8</v>
      </c>
    </row>
    <row r="42" spans="1:9" ht="15" customHeight="1" thickTop="1" thickBot="1" x14ac:dyDescent="0.3">
      <c r="A42" s="18" t="s">
        <v>11</v>
      </c>
      <c r="B42" s="19">
        <v>3598</v>
      </c>
      <c r="C42" s="20">
        <v>8.5</v>
      </c>
      <c r="D42" s="21">
        <v>30914</v>
      </c>
      <c r="E42" s="22">
        <v>7.35</v>
      </c>
      <c r="F42" s="19">
        <v>13350</v>
      </c>
      <c r="G42" s="20">
        <v>14.31</v>
      </c>
      <c r="H42" s="21">
        <v>174458</v>
      </c>
      <c r="I42" s="22">
        <v>13.08</v>
      </c>
    </row>
    <row r="43" spans="1:9" ht="14.45" customHeight="1" thickBot="1" x14ac:dyDescent="0.3">
      <c r="A43" s="23" t="s">
        <v>12</v>
      </c>
      <c r="B43" s="19">
        <v>3596</v>
      </c>
      <c r="C43" s="20">
        <v>8.5399999999999991</v>
      </c>
      <c r="D43" s="21">
        <v>27656</v>
      </c>
      <c r="E43" s="22">
        <v>8.5299999999999994</v>
      </c>
      <c r="F43" s="19">
        <v>13328</v>
      </c>
      <c r="G43" s="20">
        <v>13.8</v>
      </c>
      <c r="H43" s="21">
        <v>150528</v>
      </c>
      <c r="I43" s="22">
        <v>13.6</v>
      </c>
    </row>
    <row r="44" spans="1:9" ht="15" customHeight="1" thickBot="1" x14ac:dyDescent="0.3">
      <c r="A44" s="23" t="s">
        <v>13</v>
      </c>
      <c r="B44" s="19">
        <v>3620</v>
      </c>
      <c r="C44" s="20">
        <v>9.0299999999999994</v>
      </c>
      <c r="D44" s="21">
        <v>31108</v>
      </c>
      <c r="E44" s="22">
        <v>8.1199999999999992</v>
      </c>
      <c r="F44" s="19">
        <v>13320</v>
      </c>
      <c r="G44" s="20">
        <v>12</v>
      </c>
      <c r="H44" s="21">
        <v>173752</v>
      </c>
      <c r="I44" s="22">
        <v>12.85</v>
      </c>
    </row>
    <row r="45" spans="1:9" ht="15" customHeight="1" thickBot="1" x14ac:dyDescent="0.3">
      <c r="A45" s="23" t="s">
        <v>14</v>
      </c>
      <c r="B45" s="19">
        <v>3594</v>
      </c>
      <c r="C45" s="20">
        <v>7.61</v>
      </c>
      <c r="D45" s="21">
        <v>30848</v>
      </c>
      <c r="E45" s="22">
        <v>7.36</v>
      </c>
      <c r="F45" s="19">
        <v>13318</v>
      </c>
      <c r="G45" s="20">
        <v>12.31</v>
      </c>
      <c r="H45" s="21">
        <v>152826</v>
      </c>
      <c r="I45" s="22">
        <v>11.93</v>
      </c>
    </row>
    <row r="46" spans="1:9" ht="15" customHeight="1" thickBot="1" x14ac:dyDescent="0.3">
      <c r="A46" s="24" t="s">
        <v>15</v>
      </c>
      <c r="B46" s="25">
        <v>3614</v>
      </c>
      <c r="C46" s="26">
        <v>7.23</v>
      </c>
      <c r="D46" s="27">
        <v>30844</v>
      </c>
      <c r="E46" s="28">
        <v>7.79</v>
      </c>
      <c r="F46" s="25">
        <v>13338</v>
      </c>
      <c r="G46" s="26">
        <v>12.82</v>
      </c>
      <c r="H46" s="27">
        <v>150528</v>
      </c>
      <c r="I46" s="28">
        <v>12.78</v>
      </c>
    </row>
    <row r="47" spans="1:9" ht="15.75" customHeight="1" thickTop="1" thickBot="1" x14ac:dyDescent="0.3">
      <c r="A47" s="9" t="s">
        <v>10</v>
      </c>
      <c r="B47" s="10">
        <f>AVERAGE((B42-$C$12)/$C$12,(B43-$C$12)/$C$12,(B44-$C$12)/$C$12,(B45-$C$12)/$C$12,(B46-$C$12)/$C$12)</f>
        <v>1.7617165443252397E-2</v>
      </c>
      <c r="C47" s="11">
        <f>AVERAGE(C42:C46)</f>
        <v>8.1819999999999986</v>
      </c>
      <c r="D47" s="10">
        <f>AVERAGE((D42-$E$12)/$E$12,(D43-$E$12)/$E$12,(D44-$E$12)/$E$12,(D45-$E$12)/$E$12,(D46-$E$12)/$E$12)</f>
        <v>0.12643250483702934</v>
      </c>
      <c r="E47" s="11">
        <f>AVERAGE(E42:E46)</f>
        <v>7.83</v>
      </c>
      <c r="F47" s="10">
        <f>AVERAGE((F42-$G$12)/$G$12,(F43-$G$12)/$G$12,(F44-$G$12)/$G$12,(F45-$G$12)/$G$12,(F46-$G$12)/$G$12)</f>
        <v>2.9190490520613903E-3</v>
      </c>
      <c r="G47" s="11">
        <f>AVERAGE(G42:G46)</f>
        <v>13.048000000000002</v>
      </c>
      <c r="H47" s="10">
        <f>AVERAGE((H42-$I$12)/$I$12,(H43-$I$12)/$I$12,(H44-$I$12)/$I$12,(H45-$I$12)/$I$12,(H46-$I$12)/$I$12)</f>
        <v>6.5704719387755101E-2</v>
      </c>
      <c r="I47" s="11">
        <f>AVERAGE(I42:I46)</f>
        <v>12.847999999999999</v>
      </c>
    </row>
    <row r="48" spans="1:9" ht="15.75" customHeight="1" thickBot="1" x14ac:dyDescent="0.3">
      <c r="A48" s="23" t="s">
        <v>16</v>
      </c>
      <c r="B48" s="29">
        <f>STDEV((B42-$C$12)/$C$12,(B43-$C$12)/$C$12,(B44-$C$12)/$C$12,(B45-$C$12)/$C$12,(B46-$C$12)/$C$12)</f>
        <v>3.3261832806376372E-3</v>
      </c>
      <c r="C48" s="29">
        <f>STDEV(C42:C46)</f>
        <v>0.73855940857861879</v>
      </c>
      <c r="D48" s="29">
        <f>STDEV((D42-$E$12)/$E$12,(D43-$E$12)/$E$12,(D44-$E$12)/$E$12,(D45-$E$12)/$E$12,(D46-$E$12)/$E$12)</f>
        <v>5.4600182169322074E-2</v>
      </c>
      <c r="E48" s="29">
        <f>STDEV(E42:E46)</f>
        <v>0.50670504240632896</v>
      </c>
      <c r="F48" s="29">
        <f>STDEV((F42-$G$12)/$G$12,(F43-$G$12)/$G$12,(F44-$G$12)/$G$12,(F45-$G$12)/$G$12,(F46-$G$12)/$G$12)</f>
        <v>1.0014782601440709E-3</v>
      </c>
      <c r="G48" s="29">
        <f>STDEV(G42:G46)</f>
        <v>0.98146319340054744</v>
      </c>
      <c r="H48" s="29">
        <f>STDEV((H42-$I$12)/$I$12,(H43-$I$12)/$I$12,(H44-$I$12)/$I$12,(H45-$I$12)/$I$12,(H46-$I$12)/$I$12)</f>
        <v>8.3252005271840804E-2</v>
      </c>
      <c r="I48" s="29">
        <f>STDEV(I42:I46)</f>
        <v>0.60553282322265578</v>
      </c>
    </row>
    <row r="49" spans="1:27" ht="24" customHeight="1" x14ac:dyDescent="0.25"/>
    <row r="50" spans="1:27" ht="15.75" customHeight="1" thickBot="1" x14ac:dyDescent="0.3">
      <c r="O50" t="str">
        <f>J56</f>
        <v>Media</v>
      </c>
    </row>
    <row r="51" spans="1:27" ht="15.75" customHeight="1" thickTop="1" thickBot="1" x14ac:dyDescent="0.3">
      <c r="N51" s="52" t="str">
        <f>A57</f>
        <v>iteraciones: 10</v>
      </c>
      <c r="O51" s="41">
        <f>J57</f>
        <v>0.1167805683395499</v>
      </c>
    </row>
    <row r="52" spans="1:27" ht="15.75" customHeight="1" thickTop="1" thickBot="1" x14ac:dyDescent="0.3">
      <c r="N52" s="52" t="str">
        <f>A58</f>
        <v>iteraciones: 50</v>
      </c>
      <c r="O52" s="41">
        <f>J58</f>
        <v>6.0584367350993373E-2</v>
      </c>
    </row>
    <row r="53" spans="1:27" ht="15.75" customHeight="1" thickTop="1" thickBot="1" x14ac:dyDescent="0.3">
      <c r="N53" s="52" t="str">
        <f>A59</f>
        <v>iteraciones: 100</v>
      </c>
      <c r="O53" s="41">
        <f>J59</f>
        <v>5.3168359680024556E-2</v>
      </c>
    </row>
    <row r="54" spans="1:27" ht="15.75" customHeight="1" thickTop="1" thickBot="1" x14ac:dyDescent="0.3">
      <c r="N54" s="52"/>
      <c r="O54" s="41"/>
    </row>
    <row r="55" spans="1:27" ht="15.75" customHeight="1" thickTop="1" thickBot="1" x14ac:dyDescent="0.3">
      <c r="A55" s="59" t="s">
        <v>30</v>
      </c>
      <c r="B55" s="60" t="s">
        <v>0</v>
      </c>
      <c r="C55" s="61"/>
      <c r="D55" s="62" t="s">
        <v>1</v>
      </c>
      <c r="E55" s="61"/>
      <c r="F55" s="62" t="s">
        <v>2</v>
      </c>
      <c r="G55" s="61"/>
      <c r="H55" s="62" t="s">
        <v>3</v>
      </c>
      <c r="I55" s="63"/>
      <c r="J55" s="64" t="s">
        <v>19</v>
      </c>
      <c r="K55" s="65"/>
    </row>
    <row r="56" spans="1:27" ht="15.75" customHeight="1" thickBot="1" x14ac:dyDescent="0.3">
      <c r="A56" s="59"/>
      <c r="B56" s="15" t="s">
        <v>10</v>
      </c>
      <c r="C56" s="16" t="s">
        <v>8</v>
      </c>
      <c r="D56" s="15" t="s">
        <v>10</v>
      </c>
      <c r="E56" s="17" t="s">
        <v>8</v>
      </c>
      <c r="F56" s="15" t="s">
        <v>10</v>
      </c>
      <c r="G56" s="16" t="s">
        <v>8</v>
      </c>
      <c r="H56" s="15" t="s">
        <v>10</v>
      </c>
      <c r="I56" s="17" t="s">
        <v>8</v>
      </c>
      <c r="J56" s="31" t="s">
        <v>10</v>
      </c>
      <c r="K56" s="32" t="s">
        <v>8</v>
      </c>
      <c r="O56" s="57" t="s">
        <v>40</v>
      </c>
    </row>
    <row r="57" spans="1:27" ht="17.25" thickTop="1" thickBot="1" x14ac:dyDescent="0.3">
      <c r="A57" s="53" t="s">
        <v>38</v>
      </c>
      <c r="B57" s="48">
        <f t="shared" ref="B57:I57" si="0">B20</f>
        <v>2.4844720496894408E-2</v>
      </c>
      <c r="C57" s="29">
        <f t="shared" si="0"/>
        <v>4.2379999999999995</v>
      </c>
      <c r="D57" s="42">
        <f t="shared" si="0"/>
        <v>0.16545616907277869</v>
      </c>
      <c r="E57" s="29">
        <f t="shared" si="0"/>
        <v>4.2459999999999996</v>
      </c>
      <c r="F57" s="42">
        <f t="shared" si="0"/>
        <v>7.7038820343063499E-3</v>
      </c>
      <c r="G57" s="29">
        <f t="shared" si="0"/>
        <v>8.2140000000000022</v>
      </c>
      <c r="H57" s="42">
        <f t="shared" si="0"/>
        <v>0.17718165391156462</v>
      </c>
      <c r="I57" s="29">
        <f t="shared" si="0"/>
        <v>8.2680000000000007</v>
      </c>
      <c r="J57" s="44">
        <f>AVERAGE(B56,D57,F57,H57)</f>
        <v>0.1167805683395499</v>
      </c>
      <c r="K57" s="34">
        <f t="shared" ref="K57:K59" si="1">AVERAGE(C57,E57,G57,I57)</f>
        <v>6.2415000000000003</v>
      </c>
      <c r="N57" t="str">
        <f>A57</f>
        <v>iteraciones: 10</v>
      </c>
      <c r="O57" s="54">
        <f t="shared" ref="O57:O59" si="2">K57</f>
        <v>6.2415000000000003</v>
      </c>
    </row>
    <row r="58" spans="1:27" ht="17.25" thickTop="1" thickBot="1" x14ac:dyDescent="0.3">
      <c r="A58" s="52" t="s">
        <v>37</v>
      </c>
      <c r="B58" s="48">
        <f t="shared" ref="B58:I58" si="3">B33</f>
        <v>2.0553359683794466E-2</v>
      </c>
      <c r="C58" s="29">
        <f t="shared" si="3"/>
        <v>6.3179999999999996</v>
      </c>
      <c r="D58" s="42">
        <f t="shared" si="3"/>
        <v>0.11757702038993896</v>
      </c>
      <c r="E58" s="29">
        <f t="shared" si="3"/>
        <v>6.33</v>
      </c>
      <c r="F58" s="42">
        <f t="shared" si="3"/>
        <v>3.9121275955461936E-3</v>
      </c>
      <c r="G58" s="29">
        <f t="shared" si="3"/>
        <v>11.084</v>
      </c>
      <c r="H58" s="42">
        <f t="shared" si="3"/>
        <v>0.10029496173469388</v>
      </c>
      <c r="I58" s="29">
        <f t="shared" si="3"/>
        <v>10.943999999999999</v>
      </c>
      <c r="J58" s="44">
        <f t="shared" ref="J58:J59" si="4">AVERAGE(B58,D58,F58,H58)</f>
        <v>6.0584367350993373E-2</v>
      </c>
      <c r="K58" s="34">
        <f t="shared" si="1"/>
        <v>8.6690000000000005</v>
      </c>
      <c r="N58" t="str">
        <f t="shared" ref="N58:N59" si="5">A58</f>
        <v>iteraciones: 50</v>
      </c>
      <c r="O58" s="54">
        <f t="shared" si="2"/>
        <v>8.6690000000000005</v>
      </c>
    </row>
    <row r="59" spans="1:27" ht="17.25" thickTop="1" thickBot="1" x14ac:dyDescent="0.3">
      <c r="A59" s="52" t="s">
        <v>36</v>
      </c>
      <c r="B59" s="49">
        <f t="shared" ref="B59:I59" si="6">B47</f>
        <v>1.7617165443252397E-2</v>
      </c>
      <c r="C59" s="35">
        <f t="shared" si="6"/>
        <v>8.1819999999999986</v>
      </c>
      <c r="D59" s="43">
        <f t="shared" si="6"/>
        <v>0.12643250483702934</v>
      </c>
      <c r="E59" s="35">
        <f t="shared" si="6"/>
        <v>7.83</v>
      </c>
      <c r="F59" s="43">
        <f t="shared" si="6"/>
        <v>2.9190490520613903E-3</v>
      </c>
      <c r="G59" s="35">
        <f t="shared" si="6"/>
        <v>13.048000000000002</v>
      </c>
      <c r="H59" s="43">
        <f t="shared" si="6"/>
        <v>6.5704719387755101E-2</v>
      </c>
      <c r="I59" s="35">
        <f t="shared" si="6"/>
        <v>12.847999999999999</v>
      </c>
      <c r="J59" s="44">
        <f t="shared" si="4"/>
        <v>5.3168359680024556E-2</v>
      </c>
      <c r="K59" s="34">
        <f t="shared" si="1"/>
        <v>10.477</v>
      </c>
      <c r="N59" t="str">
        <f t="shared" si="5"/>
        <v>iteraciones: 100</v>
      </c>
      <c r="O59" s="54">
        <f t="shared" si="2"/>
        <v>10.477</v>
      </c>
    </row>
    <row r="60" spans="1:27" ht="27.75" thickTop="1" thickBot="1" x14ac:dyDescent="0.45">
      <c r="A60" s="30"/>
      <c r="Y60" s="52"/>
      <c r="Z60" s="41"/>
      <c r="AA60" s="54"/>
    </row>
    <row r="61" spans="1:27" ht="15.75" customHeight="1" thickTop="1" x14ac:dyDescent="0.25"/>
    <row r="62" spans="1:27" ht="15.75" customHeight="1" thickBot="1" x14ac:dyDescent="0.3"/>
    <row r="63" spans="1:27" ht="15.75" customHeight="1" thickTop="1" thickBot="1" x14ac:dyDescent="0.3">
      <c r="A63" s="59" t="s">
        <v>30</v>
      </c>
      <c r="B63" s="60" t="s">
        <v>0</v>
      </c>
      <c r="C63" s="61"/>
      <c r="D63" s="62" t="s">
        <v>1</v>
      </c>
      <c r="E63" s="61"/>
      <c r="F63" s="62" t="s">
        <v>2</v>
      </c>
      <c r="G63" s="61"/>
      <c r="H63" s="62" t="s">
        <v>3</v>
      </c>
      <c r="I63" s="63"/>
      <c r="J63" s="64" t="s">
        <v>17</v>
      </c>
      <c r="K63" s="65"/>
    </row>
    <row r="64" spans="1:27" ht="15.75" customHeight="1" thickBot="1" x14ac:dyDescent="0.3">
      <c r="A64" s="59"/>
      <c r="B64" s="15" t="s">
        <v>18</v>
      </c>
      <c r="C64" s="16" t="s">
        <v>8</v>
      </c>
      <c r="D64" s="15" t="s">
        <v>18</v>
      </c>
      <c r="E64" s="17" t="s">
        <v>8</v>
      </c>
      <c r="F64" s="15" t="s">
        <v>18</v>
      </c>
      <c r="G64" s="16" t="s">
        <v>8</v>
      </c>
      <c r="H64" s="15" t="s">
        <v>18</v>
      </c>
      <c r="I64" s="17" t="s">
        <v>8</v>
      </c>
      <c r="J64" s="31" t="s">
        <v>18</v>
      </c>
      <c r="K64" s="32" t="s">
        <v>8</v>
      </c>
    </row>
    <row r="65" spans="1:11" ht="17.25" thickTop="1" thickBot="1" x14ac:dyDescent="0.3">
      <c r="A65" s="53" t="s">
        <v>38</v>
      </c>
      <c r="B65" s="50">
        <f t="shared" ref="B65:I65" si="7">B21</f>
        <v>5.0187433186423425E-3</v>
      </c>
      <c r="C65" s="50">
        <f t="shared" si="7"/>
        <v>0.14788509052639484</v>
      </c>
      <c r="D65" s="50">
        <f t="shared" si="7"/>
        <v>1.4931607433438271E-2</v>
      </c>
      <c r="E65" s="50">
        <f t="shared" si="7"/>
        <v>0.24754797514825269</v>
      </c>
      <c r="F65" s="50">
        <f t="shared" si="7"/>
        <v>2.3705032312137204E-3</v>
      </c>
      <c r="G65" s="50">
        <f t="shared" si="7"/>
        <v>0.35061374759127739</v>
      </c>
      <c r="H65" s="50">
        <f t="shared" si="7"/>
        <v>8.0078567002464778E-3</v>
      </c>
      <c r="I65" s="50">
        <f t="shared" si="7"/>
        <v>0.30930567405076842</v>
      </c>
      <c r="J65" s="33">
        <f t="shared" ref="J65:K65" si="8">AVERAGE(B65,D65,F65,H65)</f>
        <v>7.5821776708852023E-3</v>
      </c>
      <c r="K65" s="34">
        <f t="shared" si="8"/>
        <v>0.26383812182917332</v>
      </c>
    </row>
    <row r="66" spans="1:11" ht="17.25" thickTop="1" thickBot="1" x14ac:dyDescent="0.3">
      <c r="A66" s="52" t="s">
        <v>37</v>
      </c>
      <c r="B66" s="50">
        <f t="shared" ref="B66:I66" si="9">B34</f>
        <v>3.3784924453193876E-3</v>
      </c>
      <c r="C66" s="50">
        <f t="shared" si="9"/>
        <v>0.15303594349041036</v>
      </c>
      <c r="D66" s="50">
        <f t="shared" si="9"/>
        <v>4.9446005068579511E-2</v>
      </c>
      <c r="E66" s="50">
        <f t="shared" si="9"/>
        <v>0.42895221179054416</v>
      </c>
      <c r="F66" s="50">
        <f t="shared" si="9"/>
        <v>1.1459183126487976E-3</v>
      </c>
      <c r="G66" s="50">
        <f t="shared" si="9"/>
        <v>0.54601282036230636</v>
      </c>
      <c r="H66" s="50">
        <f t="shared" si="9"/>
        <v>9.1628230139654612E-2</v>
      </c>
      <c r="I66" s="50">
        <f t="shared" si="9"/>
        <v>0.50321963395718183</v>
      </c>
      <c r="J66" s="33">
        <f t="shared" ref="J66:K67" si="10">AVERAGE(B66,D66,F66,H66)</f>
        <v>3.6399661491550578E-2</v>
      </c>
      <c r="K66" s="34">
        <f t="shared" si="10"/>
        <v>0.40780515240011073</v>
      </c>
    </row>
    <row r="67" spans="1:11" ht="17.25" thickTop="1" thickBot="1" x14ac:dyDescent="0.3">
      <c r="A67" s="52" t="s">
        <v>36</v>
      </c>
      <c r="B67" s="51">
        <f t="shared" ref="B67:I67" si="11">B48</f>
        <v>3.3261832806376372E-3</v>
      </c>
      <c r="C67" s="51">
        <f t="shared" si="11"/>
        <v>0.73855940857861879</v>
      </c>
      <c r="D67" s="51">
        <f t="shared" si="11"/>
        <v>5.4600182169322074E-2</v>
      </c>
      <c r="E67" s="51">
        <f t="shared" si="11"/>
        <v>0.50670504240632896</v>
      </c>
      <c r="F67" s="51">
        <f t="shared" si="11"/>
        <v>1.0014782601440709E-3</v>
      </c>
      <c r="G67" s="51">
        <f t="shared" si="11"/>
        <v>0.98146319340054744</v>
      </c>
      <c r="H67" s="51">
        <f t="shared" si="11"/>
        <v>8.3252005271840804E-2</v>
      </c>
      <c r="I67" s="51">
        <f t="shared" si="11"/>
        <v>0.60553282322265578</v>
      </c>
      <c r="J67" s="33">
        <f t="shared" si="10"/>
        <v>3.5544962245486145E-2</v>
      </c>
      <c r="K67" s="34">
        <f t="shared" si="10"/>
        <v>0.70806511690203777</v>
      </c>
    </row>
    <row r="68" spans="1:11" ht="15.75" thickTop="1" x14ac:dyDescent="0.25"/>
    <row r="69" spans="1:11" ht="15.75" customHeight="1" x14ac:dyDescent="0.25"/>
    <row r="70" spans="1:11" ht="15.75" customHeight="1" x14ac:dyDescent="0.25">
      <c r="A70" s="55" t="s">
        <v>24</v>
      </c>
    </row>
    <row r="71" spans="1:11" ht="15.75" customHeight="1" x14ac:dyDescent="0.25"/>
    <row r="72" spans="1:11" ht="15.75" customHeight="1" x14ac:dyDescent="0.25">
      <c r="A72" s="46" t="s">
        <v>26</v>
      </c>
    </row>
    <row r="73" spans="1:11" ht="24" thickBot="1" x14ac:dyDescent="0.4">
      <c r="B73" s="66" t="s">
        <v>0</v>
      </c>
      <c r="C73" s="67"/>
      <c r="D73" s="66" t="s">
        <v>1</v>
      </c>
      <c r="E73" s="67"/>
      <c r="F73" s="66" t="s">
        <v>2</v>
      </c>
      <c r="G73" s="67"/>
      <c r="H73" s="66" t="s">
        <v>3</v>
      </c>
      <c r="I73" s="67"/>
    </row>
    <row r="74" spans="1:11" ht="15.75" customHeight="1" x14ac:dyDescent="0.25">
      <c r="A74" s="68" t="s">
        <v>21</v>
      </c>
      <c r="B74" s="12" t="s">
        <v>5</v>
      </c>
      <c r="C74" s="13">
        <v>20</v>
      </c>
      <c r="D74" s="14" t="s">
        <v>5</v>
      </c>
      <c r="E74" s="13">
        <v>20</v>
      </c>
      <c r="F74" s="14" t="s">
        <v>5</v>
      </c>
      <c r="G74" s="13">
        <v>30</v>
      </c>
      <c r="H74" s="14" t="s">
        <v>5</v>
      </c>
      <c r="I74" s="13">
        <v>30</v>
      </c>
    </row>
    <row r="75" spans="1:11" ht="15.75" customHeight="1" x14ac:dyDescent="0.25">
      <c r="A75" s="76"/>
      <c r="B75" s="71" t="s">
        <v>6</v>
      </c>
      <c r="C75" s="73">
        <v>3542</v>
      </c>
      <c r="D75" s="71" t="s">
        <v>6</v>
      </c>
      <c r="E75" s="73">
        <v>26876</v>
      </c>
      <c r="F75" s="71" t="s">
        <v>6</v>
      </c>
      <c r="G75" s="73">
        <v>13292</v>
      </c>
      <c r="H75" s="71" t="s">
        <v>6</v>
      </c>
      <c r="I75" s="73">
        <v>150528</v>
      </c>
    </row>
    <row r="76" spans="1:11" ht="15.75" customHeight="1" thickBot="1" x14ac:dyDescent="0.3">
      <c r="A76" s="76"/>
      <c r="B76" s="72"/>
      <c r="C76" s="74"/>
      <c r="D76" s="72"/>
      <c r="E76" s="74"/>
      <c r="F76" s="72"/>
      <c r="G76" s="74"/>
      <c r="H76" s="72"/>
      <c r="I76" s="74"/>
    </row>
    <row r="77" spans="1:11" ht="15.75" customHeight="1" thickTop="1" thickBot="1" x14ac:dyDescent="0.3">
      <c r="A77" s="77"/>
      <c r="B77" s="15" t="s">
        <v>7</v>
      </c>
      <c r="C77" s="16" t="s">
        <v>8</v>
      </c>
      <c r="D77" s="15" t="s">
        <v>7</v>
      </c>
      <c r="E77" s="17" t="s">
        <v>8</v>
      </c>
      <c r="F77" s="15" t="s">
        <v>7</v>
      </c>
      <c r="G77" s="16" t="s">
        <v>8</v>
      </c>
      <c r="H77" s="15" t="s">
        <v>7</v>
      </c>
      <c r="I77" s="17" t="s">
        <v>8</v>
      </c>
    </row>
    <row r="78" spans="1:11" ht="15.75" customHeight="1" thickTop="1" thickBot="1" x14ac:dyDescent="0.3">
      <c r="A78" s="39" t="s">
        <v>11</v>
      </c>
      <c r="B78" s="19">
        <v>3632</v>
      </c>
      <c r="C78" s="20">
        <v>4.0599999999999996</v>
      </c>
      <c r="D78" s="21">
        <v>31040</v>
      </c>
      <c r="E78" s="22">
        <v>4.0999999999999996</v>
      </c>
      <c r="F78" s="19">
        <v>13354</v>
      </c>
      <c r="G78" s="20">
        <v>7.74</v>
      </c>
      <c r="H78" s="21">
        <v>177106</v>
      </c>
      <c r="I78" s="22">
        <v>7.89</v>
      </c>
    </row>
    <row r="79" spans="1:11" ht="15.75" customHeight="1" thickBot="1" x14ac:dyDescent="0.3">
      <c r="A79" s="23" t="s">
        <v>12</v>
      </c>
      <c r="B79" s="19">
        <v>3652</v>
      </c>
      <c r="C79" s="20">
        <v>4.21</v>
      </c>
      <c r="D79" s="21">
        <v>31300</v>
      </c>
      <c r="E79" s="22">
        <v>4.58</v>
      </c>
      <c r="F79" s="19">
        <v>13426</v>
      </c>
      <c r="G79" s="20">
        <v>8.39</v>
      </c>
      <c r="H79" s="21">
        <v>179878</v>
      </c>
      <c r="I79" s="22">
        <v>8.48</v>
      </c>
      <c r="J79" s="47"/>
    </row>
    <row r="80" spans="1:11" ht="15.75" customHeight="1" thickBot="1" x14ac:dyDescent="0.3">
      <c r="A80" s="23" t="s">
        <v>13</v>
      </c>
      <c r="B80" s="19">
        <v>3632</v>
      </c>
      <c r="C80" s="20">
        <v>4.5599999999999996</v>
      </c>
      <c r="D80" s="21">
        <v>31288</v>
      </c>
      <c r="E80" s="22">
        <v>4.43</v>
      </c>
      <c r="F80" s="19">
        <v>13380</v>
      </c>
      <c r="G80" s="20">
        <v>8.76</v>
      </c>
      <c r="H80" s="21">
        <v>176558</v>
      </c>
      <c r="I80" s="22">
        <v>8.18</v>
      </c>
    </row>
    <row r="81" spans="1:9" ht="15.75" customHeight="1" thickBot="1" x14ac:dyDescent="0.3">
      <c r="A81" s="23" t="s">
        <v>14</v>
      </c>
      <c r="B81" s="19">
        <v>3656</v>
      </c>
      <c r="C81" s="20">
        <v>4.4800000000000004</v>
      </c>
      <c r="D81" s="21">
        <v>31084</v>
      </c>
      <c r="E81" s="22">
        <v>4.2699999999999996</v>
      </c>
      <c r="F81" s="19">
        <v>13412</v>
      </c>
      <c r="G81" s="20">
        <v>8.4600000000000009</v>
      </c>
      <c r="H81" s="21">
        <v>177048</v>
      </c>
      <c r="I81" s="22">
        <v>8.48</v>
      </c>
    </row>
    <row r="82" spans="1:9" ht="15.75" customHeight="1" thickBot="1" x14ac:dyDescent="0.3">
      <c r="A82" s="24" t="s">
        <v>15</v>
      </c>
      <c r="B82" s="25">
        <v>3636</v>
      </c>
      <c r="C82" s="26">
        <v>4.4400000000000004</v>
      </c>
      <c r="D82" s="27">
        <v>30472</v>
      </c>
      <c r="E82" s="28">
        <v>4.45</v>
      </c>
      <c r="F82" s="25">
        <v>13394</v>
      </c>
      <c r="G82" s="26">
        <v>8.33</v>
      </c>
      <c r="H82" s="27">
        <v>179214</v>
      </c>
      <c r="I82" s="28">
        <v>8.7799999999999994</v>
      </c>
    </row>
    <row r="83" spans="1:9" ht="15.75" customHeight="1" thickTop="1" thickBot="1" x14ac:dyDescent="0.3">
      <c r="A83" s="9" t="s">
        <v>10</v>
      </c>
      <c r="B83" s="10">
        <f>AVERAGE((B78-$C$12)/$C$12,(B79-$C$12)/$C$12,(B80-$C$12)/$C$12,(B81-$C$12)/$C$12,(B82-$C$12)/$C$12)</f>
        <v>2.8119706380575944E-2</v>
      </c>
      <c r="C83" s="11">
        <f>AVERAGE(C78:C82)</f>
        <v>4.3499999999999996</v>
      </c>
      <c r="D83" s="10">
        <f>AVERAGE((D78-$E$12)/$E$12,(D79-$E$12)/$E$12,(D80-$E$12)/$E$12,(D81-$E$12)/$E$12,(D82-$E$12)/$E$12)</f>
        <v>0.15481470456913232</v>
      </c>
      <c r="E83" s="11">
        <f>AVERAGE(E78:E82)</f>
        <v>4.3659999999999997</v>
      </c>
      <c r="F83" s="10">
        <f>AVERAGE((F78-$G$12)/$G$12,(F79-$G$12)/$G$12,(F80-$G$12)/$G$12,(F81-$G$12)/$G$12,(F82-$G$12)/$G$12)</f>
        <v>7.6136021667168223E-3</v>
      </c>
      <c r="G83" s="11">
        <f>AVERAGE(G78:G82)</f>
        <v>8.3360000000000003</v>
      </c>
      <c r="H83" s="10">
        <f>AVERAGE((H78-$I$12)/$I$12,(H79-$I$12)/$I$12,(H80-$I$12)/$I$12,(H81-$I$12)/$I$12,(H82-$I$12)/$I$12)</f>
        <v>0.18224383503401359</v>
      </c>
      <c r="I83" s="11">
        <f>AVERAGE(I78:I82)</f>
        <v>8.3620000000000001</v>
      </c>
    </row>
    <row r="84" spans="1:9" ht="15.75" customHeight="1" thickBot="1" x14ac:dyDescent="0.3">
      <c r="A84" s="23" t="s">
        <v>16</v>
      </c>
      <c r="B84" s="29">
        <f>STDEV((B78-$C$12)/$C$12,(B79-$C$12)/$C$12,(B80-$C$12)/$C$12,(B81-$C$12)/$C$12,(B82-$C$12)/$C$12)</f>
        <v>3.2534975247629433E-3</v>
      </c>
      <c r="C84" s="29">
        <f>STDEV(C78:C82)</f>
        <v>0.20784609690826544</v>
      </c>
      <c r="D84" s="29">
        <f>STDEV((D78-$E$12)/$E$12,(D79-$E$12)/$E$12,(D80-$E$12)/$E$12,(D81-$E$12)/$E$12,(D82-$E$12)/$E$12)</f>
        <v>1.2529912043723159E-2</v>
      </c>
      <c r="E84" s="29">
        <f>STDEV(E78:E82)</f>
        <v>0.18501351301999558</v>
      </c>
      <c r="F84" s="29">
        <f>STDEV((F78-$G$12)/$G$12,(F79-$G$12)/$G$12,(F80-$G$12)/$G$12,(F81-$G$12)/$G$12,(F82-$G$12)/$G$12)</f>
        <v>2.1081417678294767E-3</v>
      </c>
      <c r="G84" s="29">
        <f>STDEV(G78:G82)</f>
        <v>0.37192741227287884</v>
      </c>
      <c r="H84" s="29">
        <f>STDEV((H78-$I$12)/$I$12,(H79-$I$12)/$I$12,(H80-$I$12)/$I$12,(H81-$I$12)/$I$12,(H82-$I$12)/$I$12)</f>
        <v>9.841199756815508E-3</v>
      </c>
      <c r="I84" s="29">
        <f>STDEV(I78:I82)</f>
        <v>0.33855575611706862</v>
      </c>
    </row>
    <row r="85" spans="1:9" ht="15.75" customHeight="1" x14ac:dyDescent="0.25">
      <c r="B85" s="38"/>
      <c r="C85" s="38"/>
      <c r="D85" s="38"/>
      <c r="E85" s="38"/>
      <c r="F85" s="38"/>
      <c r="G85" s="38"/>
      <c r="H85" s="38"/>
      <c r="I85" s="38"/>
    </row>
    <row r="86" spans="1:9" ht="47.25" thickBot="1" x14ac:dyDescent="0.4">
      <c r="A86" s="46" t="s">
        <v>27</v>
      </c>
      <c r="B86" s="66" t="s">
        <v>0</v>
      </c>
      <c r="C86" s="67"/>
      <c r="D86" s="66" t="s">
        <v>1</v>
      </c>
      <c r="E86" s="67"/>
      <c r="F86" s="66" t="s">
        <v>2</v>
      </c>
      <c r="G86" s="67"/>
      <c r="H86" s="66" t="s">
        <v>3</v>
      </c>
      <c r="I86" s="67"/>
    </row>
    <row r="87" spans="1:9" ht="15.75" customHeight="1" x14ac:dyDescent="0.25">
      <c r="A87" s="68" t="s">
        <v>21</v>
      </c>
      <c r="B87" s="12" t="s">
        <v>5</v>
      </c>
      <c r="C87" s="13">
        <v>20</v>
      </c>
      <c r="D87" s="14" t="s">
        <v>5</v>
      </c>
      <c r="E87" s="13">
        <v>20</v>
      </c>
      <c r="F87" s="14" t="s">
        <v>5</v>
      </c>
      <c r="G87" s="13">
        <v>30</v>
      </c>
      <c r="H87" s="14" t="s">
        <v>5</v>
      </c>
      <c r="I87" s="13">
        <v>30</v>
      </c>
    </row>
    <row r="88" spans="1:9" ht="15.75" customHeight="1" x14ac:dyDescent="0.25">
      <c r="A88" s="76"/>
      <c r="B88" s="71" t="s">
        <v>6</v>
      </c>
      <c r="C88" s="73">
        <v>3542</v>
      </c>
      <c r="D88" s="71" t="s">
        <v>6</v>
      </c>
      <c r="E88" s="73">
        <v>26876</v>
      </c>
      <c r="F88" s="71" t="s">
        <v>6</v>
      </c>
      <c r="G88" s="73">
        <v>13292</v>
      </c>
      <c r="H88" s="71" t="s">
        <v>6</v>
      </c>
      <c r="I88" s="73">
        <v>150528</v>
      </c>
    </row>
    <row r="89" spans="1:9" ht="15.75" customHeight="1" thickBot="1" x14ac:dyDescent="0.3">
      <c r="A89" s="76"/>
      <c r="B89" s="72"/>
      <c r="C89" s="74"/>
      <c r="D89" s="72"/>
      <c r="E89" s="74"/>
      <c r="F89" s="72"/>
      <c r="G89" s="74"/>
      <c r="H89" s="72"/>
      <c r="I89" s="74"/>
    </row>
    <row r="90" spans="1:9" ht="15.75" customHeight="1" thickTop="1" thickBot="1" x14ac:dyDescent="0.3">
      <c r="A90" s="77"/>
      <c r="B90" s="15" t="s">
        <v>7</v>
      </c>
      <c r="C90" s="16" t="s">
        <v>8</v>
      </c>
      <c r="D90" s="15" t="s">
        <v>7</v>
      </c>
      <c r="E90" s="17" t="s">
        <v>8</v>
      </c>
      <c r="F90" s="15" t="s">
        <v>7</v>
      </c>
      <c r="G90" s="16" t="s">
        <v>8</v>
      </c>
      <c r="H90" s="15" t="s">
        <v>7</v>
      </c>
      <c r="I90" s="17" t="s">
        <v>8</v>
      </c>
    </row>
    <row r="91" spans="1:9" ht="15.75" customHeight="1" thickTop="1" thickBot="1" x14ac:dyDescent="0.3">
      <c r="A91" s="39" t="s">
        <v>11</v>
      </c>
      <c r="B91" s="19">
        <v>3610</v>
      </c>
      <c r="C91" s="20">
        <v>5.0119999999999996</v>
      </c>
      <c r="D91" s="21">
        <v>30782</v>
      </c>
      <c r="E91" s="22">
        <v>4.8099999999999996</v>
      </c>
      <c r="F91" s="19">
        <v>13336</v>
      </c>
      <c r="G91" s="20">
        <v>9.02</v>
      </c>
      <c r="H91" s="21">
        <v>176104</v>
      </c>
      <c r="I91" s="22">
        <v>9.43</v>
      </c>
    </row>
    <row r="92" spans="1:9" ht="15.75" customHeight="1" thickBot="1" x14ac:dyDescent="0.3">
      <c r="A92" s="23" t="s">
        <v>12</v>
      </c>
      <c r="B92" s="19">
        <v>3600</v>
      </c>
      <c r="C92" s="20">
        <v>5.42</v>
      </c>
      <c r="D92" s="21">
        <v>31156</v>
      </c>
      <c r="E92" s="22">
        <v>5.0599999999999996</v>
      </c>
      <c r="F92" s="19">
        <v>13362</v>
      </c>
      <c r="G92" s="20">
        <v>9.59</v>
      </c>
      <c r="H92" s="21">
        <v>150528</v>
      </c>
      <c r="I92" s="22">
        <v>9.59</v>
      </c>
    </row>
    <row r="93" spans="1:9" ht="15.75" customHeight="1" thickBot="1" x14ac:dyDescent="0.3">
      <c r="A93" s="23" t="s">
        <v>13</v>
      </c>
      <c r="B93" s="19">
        <v>3612</v>
      </c>
      <c r="C93" s="20">
        <v>5.6</v>
      </c>
      <c r="D93" s="21">
        <v>30948</v>
      </c>
      <c r="E93" s="22">
        <v>5.2</v>
      </c>
      <c r="F93" s="19">
        <v>13344</v>
      </c>
      <c r="G93" s="20">
        <v>9.68</v>
      </c>
      <c r="H93" s="21">
        <v>175334</v>
      </c>
      <c r="I93" s="22">
        <v>9.64</v>
      </c>
    </row>
    <row r="94" spans="1:9" ht="15.75" customHeight="1" thickBot="1" x14ac:dyDescent="0.3">
      <c r="A94" s="23" t="s">
        <v>14</v>
      </c>
      <c r="B94" s="19">
        <v>3612</v>
      </c>
      <c r="C94" s="20">
        <v>5.5</v>
      </c>
      <c r="D94" s="21">
        <v>26876</v>
      </c>
      <c r="E94" s="22">
        <v>5.09</v>
      </c>
      <c r="F94" s="19">
        <v>13316</v>
      </c>
      <c r="G94" s="20">
        <v>9.8699999999999992</v>
      </c>
      <c r="H94" s="21">
        <v>153134</v>
      </c>
      <c r="I94" s="22">
        <v>9.65</v>
      </c>
    </row>
    <row r="95" spans="1:9" ht="15.75" customHeight="1" thickBot="1" x14ac:dyDescent="0.3">
      <c r="A95" s="24" t="s">
        <v>15</v>
      </c>
      <c r="B95" s="25">
        <v>3610</v>
      </c>
      <c r="C95" s="26">
        <v>5.5</v>
      </c>
      <c r="D95" s="27">
        <v>26876</v>
      </c>
      <c r="E95" s="28">
        <v>5.12</v>
      </c>
      <c r="F95" s="25">
        <v>13374</v>
      </c>
      <c r="G95" s="26">
        <v>9.73</v>
      </c>
      <c r="H95" s="27">
        <v>150528</v>
      </c>
      <c r="I95" s="28">
        <v>9.6999999999999993</v>
      </c>
    </row>
    <row r="96" spans="1:9" ht="15.75" customHeight="1" thickTop="1" thickBot="1" x14ac:dyDescent="0.3">
      <c r="A96" s="9" t="s">
        <v>10</v>
      </c>
      <c r="B96" s="10">
        <f>AVERAGE((B91-$C$12)/$C$12,(B92-$C$12)/$C$12,(B93-$C$12)/$C$12,(B94-$C$12)/$C$12,(B95-$C$12)/$C$12)</f>
        <v>1.8859401468097121E-2</v>
      </c>
      <c r="C96" s="11">
        <f>AVERAGE(C91:C95)</f>
        <v>5.4063999999999997</v>
      </c>
      <c r="D96" s="10">
        <f>AVERAGE((D91-$E$12)/$E$12,(D92-$E$12)/$E$12,(D93-$E$12)/$E$12,(D94-$E$12)/$E$12,(D95-$E$12)/$E$12)</f>
        <v>9.1218931388599489E-2</v>
      </c>
      <c r="E96" s="11">
        <f>AVERAGE(E91:E95)</f>
        <v>5.056</v>
      </c>
      <c r="F96" s="10">
        <f>AVERAGE((F91-$G$12)/$G$12,(F92-$G$12)/$G$12,(F93-$G$12)/$G$12,(F94-$G$12)/$G$12,(F95-$G$12)/$G$12)</f>
        <v>4.0926873307252486E-3</v>
      </c>
      <c r="G96" s="11">
        <f>AVERAGE(G91:G95)</f>
        <v>9.5779999999999994</v>
      </c>
      <c r="H96" s="10">
        <f>AVERAGE((H91-$I$12)/$I$12,(H92-$I$12)/$I$12,(H93-$I$12)/$I$12,(H94-$I$12)/$I$12,(H95-$I$12)/$I$12)</f>
        <v>7.0402848639455784E-2</v>
      </c>
      <c r="I96" s="11">
        <f>AVERAGE(I91:I95)</f>
        <v>9.6020000000000003</v>
      </c>
    </row>
    <row r="97" spans="1:9" ht="15.75" customHeight="1" thickBot="1" x14ac:dyDescent="0.3">
      <c r="A97" s="23" t="s">
        <v>16</v>
      </c>
      <c r="B97" s="29">
        <f>STDEV((B91-$C$12)/$C$12,(B92-$C$12)/$C$12,(B93-$C$12)/$C$12,(B94-$C$12)/$C$12,(B95-$C$12)/$C$12)</f>
        <v>1.4172671256929565E-3</v>
      </c>
      <c r="C97" s="29">
        <f>STDEV(C91:C95)</f>
        <v>0.22953169715749511</v>
      </c>
      <c r="D97" s="29">
        <f>STDEV((D91-$E$12)/$E$12,(D92-$E$12)/$E$12,(D93-$E$12)/$E$12,(D94-$E$12)/$E$12,(D95-$E$12)/$E$12)</f>
        <v>8.341693878795603E-2</v>
      </c>
      <c r="E97" s="29">
        <f>STDEV(E91:E95)</f>
        <v>0.14707141122597572</v>
      </c>
      <c r="F97" s="29">
        <f>STDEV((F91-$G$12)/$G$12,(F92-$G$12)/$G$12,(F93-$G$12)/$G$12,(F94-$G$12)/$G$12,(F95-$G$12)/$G$12)</f>
        <v>1.7003374163727534E-3</v>
      </c>
      <c r="G97" s="29">
        <f>STDEV(G91:G95)</f>
        <v>0.32797865784224439</v>
      </c>
      <c r="H97" s="29">
        <f>STDEV((H91-$I$12)/$I$12,(H92-$I$12)/$I$12,(H93-$I$12)/$I$12,(H94-$I$12)/$I$12,(H95-$I$12)/$I$12)</f>
        <v>8.8801268017670298E-2</v>
      </c>
      <c r="I97" s="29">
        <f>STDEV(I91:I95)</f>
        <v>0.10377861051295691</v>
      </c>
    </row>
    <row r="98" spans="1:9" ht="15.75" customHeight="1" x14ac:dyDescent="0.25">
      <c r="A98" s="37"/>
      <c r="B98" s="38"/>
      <c r="C98" s="38"/>
      <c r="D98" s="38"/>
      <c r="E98" s="38"/>
      <c r="F98" s="38"/>
      <c r="G98" s="38"/>
      <c r="H98" s="38"/>
      <c r="I98" s="38"/>
    </row>
    <row r="99" spans="1:9" ht="15.75" customHeight="1" x14ac:dyDescent="0.25">
      <c r="B99" s="38"/>
      <c r="C99" s="38"/>
      <c r="D99" s="38"/>
      <c r="E99" s="38"/>
      <c r="F99" s="38"/>
      <c r="G99" s="38"/>
      <c r="H99" s="38"/>
      <c r="I99" s="38"/>
    </row>
    <row r="100" spans="1:9" ht="47.25" thickBot="1" x14ac:dyDescent="0.4">
      <c r="A100" s="46" t="s">
        <v>28</v>
      </c>
      <c r="B100" s="66" t="s">
        <v>0</v>
      </c>
      <c r="C100" s="67"/>
      <c r="D100" s="66" t="s">
        <v>1</v>
      </c>
      <c r="E100" s="67"/>
      <c r="F100" s="66" t="s">
        <v>2</v>
      </c>
      <c r="G100" s="67"/>
      <c r="H100" s="66" t="s">
        <v>3</v>
      </c>
      <c r="I100" s="67"/>
    </row>
    <row r="101" spans="1:9" ht="15.75" customHeight="1" x14ac:dyDescent="0.25">
      <c r="A101" s="68" t="s">
        <v>21</v>
      </c>
      <c r="B101" s="12" t="s">
        <v>5</v>
      </c>
      <c r="C101" s="13">
        <v>20</v>
      </c>
      <c r="D101" s="14" t="s">
        <v>5</v>
      </c>
      <c r="E101" s="13">
        <v>20</v>
      </c>
      <c r="F101" s="14" t="s">
        <v>5</v>
      </c>
      <c r="G101" s="13">
        <v>30</v>
      </c>
      <c r="H101" s="14" t="s">
        <v>5</v>
      </c>
      <c r="I101" s="13">
        <v>30</v>
      </c>
    </row>
    <row r="102" spans="1:9" ht="15.75" customHeight="1" x14ac:dyDescent="0.25">
      <c r="A102" s="69"/>
      <c r="B102" s="71" t="s">
        <v>6</v>
      </c>
      <c r="C102" s="73">
        <v>3542</v>
      </c>
      <c r="D102" s="71" t="s">
        <v>6</v>
      </c>
      <c r="E102" s="73">
        <v>26876</v>
      </c>
      <c r="F102" s="71" t="s">
        <v>6</v>
      </c>
      <c r="G102" s="73">
        <v>13292</v>
      </c>
      <c r="H102" s="71" t="s">
        <v>6</v>
      </c>
      <c r="I102" s="73">
        <v>150528</v>
      </c>
    </row>
    <row r="103" spans="1:9" ht="15.75" customHeight="1" thickBot="1" x14ac:dyDescent="0.3">
      <c r="A103" s="69"/>
      <c r="B103" s="72"/>
      <c r="C103" s="74"/>
      <c r="D103" s="72"/>
      <c r="E103" s="74"/>
      <c r="F103" s="72"/>
      <c r="G103" s="74"/>
      <c r="H103" s="72"/>
      <c r="I103" s="74"/>
    </row>
    <row r="104" spans="1:9" ht="15.75" customHeight="1" thickTop="1" thickBot="1" x14ac:dyDescent="0.3">
      <c r="A104" s="70"/>
      <c r="B104" s="15" t="s">
        <v>7</v>
      </c>
      <c r="C104" s="16" t="s">
        <v>8</v>
      </c>
      <c r="D104" s="15" t="s">
        <v>7</v>
      </c>
      <c r="E104" s="17" t="s">
        <v>8</v>
      </c>
      <c r="F104" s="15" t="s">
        <v>7</v>
      </c>
      <c r="G104" s="16" t="s">
        <v>8</v>
      </c>
      <c r="H104" s="15" t="s">
        <v>7</v>
      </c>
      <c r="I104" s="17" t="s">
        <v>8</v>
      </c>
    </row>
    <row r="105" spans="1:9" ht="15.75" customHeight="1" thickTop="1" thickBot="1" x14ac:dyDescent="0.3">
      <c r="A105" s="18" t="s">
        <v>11</v>
      </c>
      <c r="B105" s="19">
        <v>3624</v>
      </c>
      <c r="C105" s="20">
        <v>6.27</v>
      </c>
      <c r="D105" s="21">
        <v>30904</v>
      </c>
      <c r="E105" s="22">
        <v>5.54</v>
      </c>
      <c r="F105" s="19">
        <v>13316</v>
      </c>
      <c r="G105" s="20">
        <v>10.210000000000001</v>
      </c>
      <c r="H105" s="21">
        <v>175472</v>
      </c>
      <c r="I105" s="22">
        <v>11.14</v>
      </c>
    </row>
    <row r="106" spans="1:9" ht="15.75" customHeight="1" thickBot="1" x14ac:dyDescent="0.3">
      <c r="A106" s="23" t="s">
        <v>12</v>
      </c>
      <c r="B106" s="19">
        <v>3624</v>
      </c>
      <c r="C106" s="20">
        <v>7.22</v>
      </c>
      <c r="D106" s="21">
        <v>31090</v>
      </c>
      <c r="E106" s="22">
        <v>6.95</v>
      </c>
      <c r="F106" s="19">
        <v>13356</v>
      </c>
      <c r="G106" s="20">
        <v>9.99</v>
      </c>
      <c r="H106" s="21">
        <v>150528</v>
      </c>
      <c r="I106" s="22">
        <v>10.01</v>
      </c>
    </row>
    <row r="107" spans="1:9" ht="15.75" customHeight="1" thickBot="1" x14ac:dyDescent="0.3">
      <c r="A107" s="23" t="s">
        <v>13</v>
      </c>
      <c r="B107" s="19">
        <v>3600</v>
      </c>
      <c r="C107" s="20">
        <v>5.96</v>
      </c>
      <c r="D107" s="21">
        <v>30860</v>
      </c>
      <c r="E107" s="22">
        <v>5.67</v>
      </c>
      <c r="F107" s="19">
        <v>13314</v>
      </c>
      <c r="G107" s="20">
        <v>10.25</v>
      </c>
      <c r="H107" s="21">
        <v>150528</v>
      </c>
      <c r="I107" s="22">
        <v>11.14</v>
      </c>
    </row>
    <row r="108" spans="1:9" ht="15.75" customHeight="1" thickBot="1" x14ac:dyDescent="0.3">
      <c r="A108" s="23" t="s">
        <v>14</v>
      </c>
      <c r="B108" s="19">
        <v>3586</v>
      </c>
      <c r="C108" s="20">
        <v>6.74</v>
      </c>
      <c r="D108" s="21">
        <v>26876</v>
      </c>
      <c r="E108" s="22">
        <v>6.02</v>
      </c>
      <c r="F108" s="19">
        <v>13312</v>
      </c>
      <c r="G108" s="20">
        <v>11.55</v>
      </c>
      <c r="H108" s="21">
        <v>150528</v>
      </c>
      <c r="I108" s="22">
        <v>10.37</v>
      </c>
    </row>
    <row r="109" spans="1:9" ht="15.75" customHeight="1" thickBot="1" x14ac:dyDescent="0.3">
      <c r="A109" s="24" t="s">
        <v>15</v>
      </c>
      <c r="B109" s="25">
        <v>3620</v>
      </c>
      <c r="C109" s="26">
        <v>5.46</v>
      </c>
      <c r="D109" s="27">
        <v>26876</v>
      </c>
      <c r="E109" s="28">
        <v>5.68</v>
      </c>
      <c r="F109" s="25">
        <v>13334</v>
      </c>
      <c r="G109" s="26">
        <v>10.38</v>
      </c>
      <c r="H109" s="27">
        <v>150528</v>
      </c>
      <c r="I109" s="28">
        <v>10.27</v>
      </c>
    </row>
    <row r="110" spans="1:9" ht="15.75" customHeight="1" thickTop="1" thickBot="1" x14ac:dyDescent="0.3">
      <c r="A110" s="9" t="s">
        <v>10</v>
      </c>
      <c r="B110" s="10">
        <f>AVERAGE((B105-$C$12)/$C$12,(B106-$C$12)/$C$12,(B107-$C$12)/$C$12,(B108-$C$12)/$C$12,(B109-$C$12)/$C$12)</f>
        <v>1.9424054206662902E-2</v>
      </c>
      <c r="C110" s="11">
        <f>AVERAGE(C105:C109)</f>
        <v>6.33</v>
      </c>
      <c r="D110" s="10">
        <f>AVERAGE((D105-$E$12)/$E$12,(D106-$E$12)/$E$12,(D107-$E$12)/$E$12,(D108-$E$12)/$E$12,(D109-$E$12)/$E$12)</f>
        <v>9.0980800714392032E-2</v>
      </c>
      <c r="E110" s="11">
        <f>AVERAGE(E105:E109)</f>
        <v>5.9719999999999995</v>
      </c>
      <c r="F110" s="10">
        <f>AVERAGE((F105-$G$12)/$G$12,(F106-$G$12)/$G$12,(F107-$G$12)/$G$12,(F108-$G$12)/$G$12,(F109-$G$12)/$G$12)</f>
        <v>2.5880228708997895E-3</v>
      </c>
      <c r="G110" s="11">
        <f>AVERAGE(G105:G109)</f>
        <v>10.476000000000001</v>
      </c>
      <c r="H110" s="10">
        <f>AVERAGE((H105-$I$12)/$I$12,(H106-$I$12)/$I$12,(H107-$I$12)/$I$12,(H108-$I$12)/$I$12,(H109-$I$12)/$I$12)</f>
        <v>3.3142006802721086E-2</v>
      </c>
      <c r="I110" s="11">
        <f>AVERAGE(I105:I109)</f>
        <v>10.585999999999999</v>
      </c>
    </row>
    <row r="111" spans="1:9" ht="15.75" customHeight="1" thickBot="1" x14ac:dyDescent="0.3">
      <c r="A111" s="23" t="s">
        <v>16</v>
      </c>
      <c r="B111" s="29">
        <f>STDEV((B105-$C$12)/$C$12,(B106-$C$12)/$C$12,(B107-$C$12)/$C$12,(B108-$C$12)/$C$12,(B109-$C$12)/$C$12)</f>
        <v>4.8177818199213046E-3</v>
      </c>
      <c r="C111" s="29">
        <f>STDEV(C105:C109)</f>
        <v>0.68146900149603284</v>
      </c>
      <c r="D111" s="29">
        <f>STDEV((D105-$E$12)/$E$12,(D106-$E$12)/$E$12,(D107-$E$12)/$E$12,(D108-$E$12)/$E$12,(D109-$E$12)/$E$12)</f>
        <v>8.3115819419898249E-2</v>
      </c>
      <c r="E111" s="29">
        <f>STDEV(E105:E109)</f>
        <v>0.57486520159077303</v>
      </c>
      <c r="F111" s="29">
        <f>STDEV((F105-$G$12)/$G$12,(F106-$G$12)/$G$12,(F107-$G$12)/$G$12,(F108-$G$12)/$G$12,(F109-$G$12)/$G$12)</f>
        <v>1.409092358524605E-3</v>
      </c>
      <c r="G111" s="29">
        <f>STDEV(G105:G109)</f>
        <v>0.61658738229062082</v>
      </c>
      <c r="H111" s="29">
        <f>STDEV((H105-$I$12)/$I$12,(H106-$I$12)/$I$12,(H107-$I$12)/$I$12,(H108-$I$12)/$I$12,(H109-$I$12)/$I$12)</f>
        <v>7.4107780121644817E-2</v>
      </c>
      <c r="I111" s="29">
        <f>STDEV(I105:I109)</f>
        <v>0.52252272677846323</v>
      </c>
    </row>
    <row r="112" spans="1:9" ht="15.75" customHeight="1" x14ac:dyDescent="0.25"/>
    <row r="113" spans="1:15" ht="15.75" customHeight="1" thickBot="1" x14ac:dyDescent="0.3">
      <c r="O113" t="str">
        <f>J119</f>
        <v>Media</v>
      </c>
    </row>
    <row r="114" spans="1:15" ht="15.75" customHeight="1" thickTop="1" thickBot="1" x14ac:dyDescent="0.3">
      <c r="N114" s="52" t="str">
        <f>A120</f>
        <v>iteraciones: 10</v>
      </c>
      <c r="O114" s="41">
        <f>J120</f>
        <v>0.11489071392328758</v>
      </c>
    </row>
    <row r="115" spans="1:15" ht="15.75" customHeight="1" thickTop="1" thickBot="1" x14ac:dyDescent="0.3">
      <c r="N115" s="52" t="str">
        <f>A121</f>
        <v>iteraciones: 50</v>
      </c>
      <c r="O115" s="41">
        <f>J121</f>
        <v>4.6143467206719413E-2</v>
      </c>
    </row>
    <row r="116" spans="1:15" ht="15.75" customHeight="1" thickTop="1" thickBot="1" x14ac:dyDescent="0.3">
      <c r="N116" s="52" t="str">
        <f>A122</f>
        <v>iteraciones: 100</v>
      </c>
      <c r="O116" s="41">
        <f>J122</f>
        <v>3.6533721148668957E-2</v>
      </c>
    </row>
    <row r="117" spans="1:15" ht="15.75" customHeight="1" thickTop="1" thickBot="1" x14ac:dyDescent="0.3"/>
    <row r="118" spans="1:15" ht="15.75" customHeight="1" thickTop="1" thickBot="1" x14ac:dyDescent="0.3">
      <c r="A118" s="59" t="s">
        <v>29</v>
      </c>
      <c r="B118" s="60" t="s">
        <v>0</v>
      </c>
      <c r="C118" s="61"/>
      <c r="D118" s="62" t="s">
        <v>1</v>
      </c>
      <c r="E118" s="61"/>
      <c r="F118" s="62" t="s">
        <v>2</v>
      </c>
      <c r="G118" s="61"/>
      <c r="H118" s="62" t="s">
        <v>3</v>
      </c>
      <c r="I118" s="63"/>
      <c r="J118" s="64" t="s">
        <v>19</v>
      </c>
      <c r="K118" s="65"/>
    </row>
    <row r="119" spans="1:15" ht="15.75" customHeight="1" thickBot="1" x14ac:dyDescent="0.3">
      <c r="A119" s="59"/>
      <c r="B119" s="15" t="s">
        <v>10</v>
      </c>
      <c r="C119" s="16" t="s">
        <v>8</v>
      </c>
      <c r="D119" s="15" t="s">
        <v>10</v>
      </c>
      <c r="E119" s="17" t="s">
        <v>8</v>
      </c>
      <c r="F119" s="15" t="s">
        <v>10</v>
      </c>
      <c r="G119" s="16" t="s">
        <v>8</v>
      </c>
      <c r="H119" s="15" t="s">
        <v>10</v>
      </c>
      <c r="I119" s="17" t="s">
        <v>8</v>
      </c>
      <c r="J119" s="31" t="s">
        <v>10</v>
      </c>
      <c r="K119" s="32" t="s">
        <v>8</v>
      </c>
      <c r="O119" s="57" t="s">
        <v>40</v>
      </c>
    </row>
    <row r="120" spans="1:15" ht="15.75" customHeight="1" thickTop="1" thickBot="1" x14ac:dyDescent="0.3">
      <c r="A120" s="53" t="s">
        <v>38</v>
      </c>
      <c r="B120" s="48">
        <f t="shared" ref="B120:I120" si="12">B83</f>
        <v>2.8119706380575944E-2</v>
      </c>
      <c r="C120" s="29">
        <f t="shared" si="12"/>
        <v>4.3499999999999996</v>
      </c>
      <c r="D120" s="42">
        <f t="shared" si="12"/>
        <v>0.15481470456913232</v>
      </c>
      <c r="E120" s="29">
        <f t="shared" si="12"/>
        <v>4.3659999999999997</v>
      </c>
      <c r="F120" s="42">
        <f t="shared" si="12"/>
        <v>7.6136021667168223E-3</v>
      </c>
      <c r="G120" s="29">
        <f t="shared" si="12"/>
        <v>8.3360000000000003</v>
      </c>
      <c r="H120" s="42">
        <f t="shared" si="12"/>
        <v>0.18224383503401359</v>
      </c>
      <c r="I120" s="29">
        <f t="shared" si="12"/>
        <v>8.3620000000000001</v>
      </c>
      <c r="J120" s="44">
        <f>AVERAGE(B119,D120,F120,H120)</f>
        <v>0.11489071392328758</v>
      </c>
      <c r="K120" s="34">
        <f t="shared" ref="K120:K122" si="13">AVERAGE(C120,E120,G120,I120)</f>
        <v>6.3535000000000004</v>
      </c>
      <c r="N120" t="str">
        <f>A120</f>
        <v>iteraciones: 10</v>
      </c>
      <c r="O120" s="54">
        <f t="shared" ref="O120:O122" si="14">K120</f>
        <v>6.3535000000000004</v>
      </c>
    </row>
    <row r="121" spans="1:15" ht="15.75" customHeight="1" thickTop="1" thickBot="1" x14ac:dyDescent="0.3">
      <c r="A121" s="52" t="s">
        <v>37</v>
      </c>
      <c r="B121" s="48">
        <f t="shared" ref="B121:I121" si="15">B96</f>
        <v>1.8859401468097121E-2</v>
      </c>
      <c r="C121" s="29">
        <f t="shared" si="15"/>
        <v>5.4063999999999997</v>
      </c>
      <c r="D121" s="42">
        <f t="shared" si="15"/>
        <v>9.1218931388599489E-2</v>
      </c>
      <c r="E121" s="29">
        <f t="shared" si="15"/>
        <v>5.056</v>
      </c>
      <c r="F121" s="42">
        <f t="shared" si="15"/>
        <v>4.0926873307252486E-3</v>
      </c>
      <c r="G121" s="29">
        <f t="shared" si="15"/>
        <v>9.5779999999999994</v>
      </c>
      <c r="H121" s="42">
        <f t="shared" si="15"/>
        <v>7.0402848639455784E-2</v>
      </c>
      <c r="I121" s="29">
        <f t="shared" si="15"/>
        <v>9.6020000000000003</v>
      </c>
      <c r="J121" s="44">
        <f t="shared" ref="J121:J122" si="16">AVERAGE(B121,D121,F121,H121)</f>
        <v>4.6143467206719413E-2</v>
      </c>
      <c r="K121" s="34">
        <f t="shared" si="13"/>
        <v>7.4105999999999996</v>
      </c>
      <c r="N121" t="str">
        <f t="shared" ref="N121:N122" si="17">A121</f>
        <v>iteraciones: 50</v>
      </c>
      <c r="O121" s="54">
        <f t="shared" si="14"/>
        <v>7.4105999999999996</v>
      </c>
    </row>
    <row r="122" spans="1:15" ht="15.75" customHeight="1" thickTop="1" thickBot="1" x14ac:dyDescent="0.3">
      <c r="A122" s="52" t="s">
        <v>36</v>
      </c>
      <c r="B122" s="49">
        <f t="shared" ref="B122:I122" si="18">B110</f>
        <v>1.9424054206662902E-2</v>
      </c>
      <c r="C122" s="35">
        <f t="shared" si="18"/>
        <v>6.33</v>
      </c>
      <c r="D122" s="43">
        <f t="shared" si="18"/>
        <v>9.0980800714392032E-2</v>
      </c>
      <c r="E122" s="35">
        <f t="shared" si="18"/>
        <v>5.9719999999999995</v>
      </c>
      <c r="F122" s="43">
        <f t="shared" si="18"/>
        <v>2.5880228708997895E-3</v>
      </c>
      <c r="G122" s="35">
        <f t="shared" si="18"/>
        <v>10.476000000000001</v>
      </c>
      <c r="H122" s="43">
        <f t="shared" si="18"/>
        <v>3.3142006802721086E-2</v>
      </c>
      <c r="I122" s="35">
        <f t="shared" si="18"/>
        <v>10.585999999999999</v>
      </c>
      <c r="J122" s="44">
        <f t="shared" si="16"/>
        <v>3.6533721148668957E-2</v>
      </c>
      <c r="K122" s="34">
        <f t="shared" si="13"/>
        <v>8.3409999999999993</v>
      </c>
      <c r="N122" t="str">
        <f t="shared" si="17"/>
        <v>iteraciones: 100</v>
      </c>
      <c r="O122" s="54">
        <f t="shared" si="14"/>
        <v>8.3409999999999993</v>
      </c>
    </row>
    <row r="123" spans="1:15" ht="15.75" customHeight="1" thickTop="1" x14ac:dyDescent="0.4">
      <c r="A123" s="30"/>
    </row>
    <row r="124" spans="1:15" ht="15.75" customHeight="1" x14ac:dyDescent="0.25"/>
    <row r="125" spans="1:15" ht="15.75" customHeight="1" thickBot="1" x14ac:dyDescent="0.3"/>
    <row r="126" spans="1:15" ht="15.75" customHeight="1" thickTop="1" thickBot="1" x14ac:dyDescent="0.3">
      <c r="A126" s="59" t="s">
        <v>29</v>
      </c>
      <c r="B126" s="60" t="s">
        <v>0</v>
      </c>
      <c r="C126" s="61"/>
      <c r="D126" s="62" t="s">
        <v>1</v>
      </c>
      <c r="E126" s="61"/>
      <c r="F126" s="62" t="s">
        <v>2</v>
      </c>
      <c r="G126" s="61"/>
      <c r="H126" s="62" t="s">
        <v>3</v>
      </c>
      <c r="I126" s="63"/>
      <c r="J126" s="64" t="s">
        <v>17</v>
      </c>
      <c r="K126" s="65"/>
    </row>
    <row r="127" spans="1:15" ht="15.75" customHeight="1" thickBot="1" x14ac:dyDescent="0.3">
      <c r="A127" s="59"/>
      <c r="B127" s="15" t="s">
        <v>18</v>
      </c>
      <c r="C127" s="16" t="s">
        <v>8</v>
      </c>
      <c r="D127" s="15" t="s">
        <v>18</v>
      </c>
      <c r="E127" s="17" t="s">
        <v>8</v>
      </c>
      <c r="F127" s="15" t="s">
        <v>18</v>
      </c>
      <c r="G127" s="16" t="s">
        <v>8</v>
      </c>
      <c r="H127" s="15" t="s">
        <v>18</v>
      </c>
      <c r="I127" s="17" t="s">
        <v>8</v>
      </c>
      <c r="J127" s="31" t="s">
        <v>18</v>
      </c>
      <c r="K127" s="32" t="s">
        <v>8</v>
      </c>
    </row>
    <row r="128" spans="1:15" ht="15.75" customHeight="1" thickTop="1" thickBot="1" x14ac:dyDescent="0.3">
      <c r="A128" s="53" t="s">
        <v>38</v>
      </c>
      <c r="B128" s="50">
        <f t="shared" ref="B128:I128" si="19">B84</f>
        <v>3.2534975247629433E-3</v>
      </c>
      <c r="C128" s="50">
        <f t="shared" si="19"/>
        <v>0.20784609690826544</v>
      </c>
      <c r="D128" s="50">
        <f t="shared" si="19"/>
        <v>1.2529912043723159E-2</v>
      </c>
      <c r="E128" s="50">
        <f t="shared" si="19"/>
        <v>0.18501351301999558</v>
      </c>
      <c r="F128" s="50">
        <f t="shared" si="19"/>
        <v>2.1081417678294767E-3</v>
      </c>
      <c r="G128" s="50">
        <f t="shared" si="19"/>
        <v>0.37192741227287884</v>
      </c>
      <c r="H128" s="50">
        <f t="shared" si="19"/>
        <v>9.841199756815508E-3</v>
      </c>
      <c r="I128" s="50">
        <f t="shared" si="19"/>
        <v>0.33855575611706862</v>
      </c>
      <c r="J128" s="33">
        <f t="shared" ref="J128:J130" si="20">AVERAGE(B128,D128,F128,H128)</f>
        <v>6.9331877732827724E-3</v>
      </c>
      <c r="K128" s="34">
        <f t="shared" ref="K128:K130" si="21">AVERAGE(C128,E128,G128,I128)</f>
        <v>0.27583569457955215</v>
      </c>
    </row>
    <row r="129" spans="1:11" ht="15.75" customHeight="1" thickTop="1" thickBot="1" x14ac:dyDescent="0.3">
      <c r="A129" s="52" t="s">
        <v>37</v>
      </c>
      <c r="B129" s="50">
        <f t="shared" ref="B129:I129" si="22">B97</f>
        <v>1.4172671256929565E-3</v>
      </c>
      <c r="C129" s="50">
        <f t="shared" si="22"/>
        <v>0.22953169715749511</v>
      </c>
      <c r="D129" s="50">
        <f t="shared" si="22"/>
        <v>8.341693878795603E-2</v>
      </c>
      <c r="E129" s="50">
        <f t="shared" si="22"/>
        <v>0.14707141122597572</v>
      </c>
      <c r="F129" s="50">
        <f t="shared" si="22"/>
        <v>1.7003374163727534E-3</v>
      </c>
      <c r="G129" s="50">
        <f t="shared" si="22"/>
        <v>0.32797865784224439</v>
      </c>
      <c r="H129" s="50">
        <f t="shared" si="22"/>
        <v>8.8801268017670298E-2</v>
      </c>
      <c r="I129" s="50">
        <f t="shared" si="22"/>
        <v>0.10377861051295691</v>
      </c>
      <c r="J129" s="33">
        <f t="shared" si="20"/>
        <v>4.3833952836923012E-2</v>
      </c>
      <c r="K129" s="34">
        <f t="shared" si="21"/>
        <v>0.20209009418466803</v>
      </c>
    </row>
    <row r="130" spans="1:11" ht="15.75" customHeight="1" thickTop="1" thickBot="1" x14ac:dyDescent="0.3">
      <c r="A130" s="52" t="s">
        <v>36</v>
      </c>
      <c r="B130" s="51">
        <f t="shared" ref="B130:I130" si="23">B111</f>
        <v>4.8177818199213046E-3</v>
      </c>
      <c r="C130" s="51">
        <f t="shared" si="23"/>
        <v>0.68146900149603284</v>
      </c>
      <c r="D130" s="51">
        <f t="shared" si="23"/>
        <v>8.3115819419898249E-2</v>
      </c>
      <c r="E130" s="51">
        <f t="shared" si="23"/>
        <v>0.57486520159077303</v>
      </c>
      <c r="F130" s="51">
        <f t="shared" si="23"/>
        <v>1.409092358524605E-3</v>
      </c>
      <c r="G130" s="51">
        <f t="shared" si="23"/>
        <v>0.61658738229062082</v>
      </c>
      <c r="H130" s="51">
        <f t="shared" si="23"/>
        <v>7.4107780121644817E-2</v>
      </c>
      <c r="I130" s="51">
        <f t="shared" si="23"/>
        <v>0.52252272677846323</v>
      </c>
      <c r="J130" s="33">
        <f t="shared" si="20"/>
        <v>4.0862618429997243E-2</v>
      </c>
      <c r="K130" s="34">
        <f t="shared" si="21"/>
        <v>0.59886107803897248</v>
      </c>
    </row>
    <row r="131" spans="1:11" ht="15.75" customHeight="1" thickTop="1" x14ac:dyDescent="0.25"/>
    <row r="132" spans="1:11" ht="15.75" customHeight="1" x14ac:dyDescent="0.25"/>
    <row r="133" spans="1:11" ht="15.75" customHeight="1" x14ac:dyDescent="0.25">
      <c r="A133" s="55" t="s">
        <v>31</v>
      </c>
    </row>
    <row r="134" spans="1:11" ht="15.75" customHeight="1" x14ac:dyDescent="0.25"/>
    <row r="135" spans="1:11" ht="15.75" customHeight="1" x14ac:dyDescent="0.25"/>
    <row r="136" spans="1:11" ht="47.25" thickBot="1" x14ac:dyDescent="0.4">
      <c r="A136" s="46" t="s">
        <v>33</v>
      </c>
      <c r="B136" s="66" t="s">
        <v>0</v>
      </c>
      <c r="C136" s="67"/>
      <c r="D136" s="66" t="s">
        <v>1</v>
      </c>
      <c r="E136" s="67"/>
      <c r="F136" s="66" t="s">
        <v>2</v>
      </c>
      <c r="G136" s="67"/>
      <c r="H136" s="66" t="s">
        <v>3</v>
      </c>
      <c r="I136" s="67"/>
    </row>
    <row r="137" spans="1:11" ht="15.75" customHeight="1" x14ac:dyDescent="0.25">
      <c r="A137" s="68" t="s">
        <v>21</v>
      </c>
      <c r="B137" s="12" t="s">
        <v>5</v>
      </c>
      <c r="C137" s="13">
        <v>20</v>
      </c>
      <c r="D137" s="14" t="s">
        <v>5</v>
      </c>
      <c r="E137" s="13">
        <v>20</v>
      </c>
      <c r="F137" s="14" t="s">
        <v>5</v>
      </c>
      <c r="G137" s="13">
        <v>30</v>
      </c>
      <c r="H137" s="14" t="s">
        <v>5</v>
      </c>
      <c r="I137" s="13">
        <v>30</v>
      </c>
    </row>
    <row r="138" spans="1:11" ht="15.75" customHeight="1" x14ac:dyDescent="0.25">
      <c r="A138" s="76"/>
      <c r="B138" s="71" t="s">
        <v>6</v>
      </c>
      <c r="C138" s="73">
        <v>3542</v>
      </c>
      <c r="D138" s="71" t="s">
        <v>6</v>
      </c>
      <c r="E138" s="73">
        <v>26876</v>
      </c>
      <c r="F138" s="71" t="s">
        <v>6</v>
      </c>
      <c r="G138" s="73">
        <v>13292</v>
      </c>
      <c r="H138" s="71" t="s">
        <v>6</v>
      </c>
      <c r="I138" s="73">
        <v>150528</v>
      </c>
    </row>
    <row r="139" spans="1:11" ht="15.75" customHeight="1" thickBot="1" x14ac:dyDescent="0.3">
      <c r="A139" s="76"/>
      <c r="B139" s="72"/>
      <c r="C139" s="74"/>
      <c r="D139" s="72"/>
      <c r="E139" s="74"/>
      <c r="F139" s="72"/>
      <c r="G139" s="74"/>
      <c r="H139" s="72"/>
      <c r="I139" s="74"/>
    </row>
    <row r="140" spans="1:11" ht="15.75" customHeight="1" thickTop="1" thickBot="1" x14ac:dyDescent="0.3">
      <c r="A140" s="77"/>
      <c r="B140" s="15" t="s">
        <v>7</v>
      </c>
      <c r="C140" s="16" t="s">
        <v>8</v>
      </c>
      <c r="D140" s="15" t="s">
        <v>7</v>
      </c>
      <c r="E140" s="17" t="s">
        <v>8</v>
      </c>
      <c r="F140" s="15" t="s">
        <v>7</v>
      </c>
      <c r="G140" s="16" t="s">
        <v>8</v>
      </c>
      <c r="H140" s="15" t="s">
        <v>7</v>
      </c>
      <c r="I140" s="17" t="s">
        <v>8</v>
      </c>
    </row>
    <row r="141" spans="1:11" ht="15.75" customHeight="1" thickTop="1" thickBot="1" x14ac:dyDescent="0.3">
      <c r="A141" s="39" t="s">
        <v>11</v>
      </c>
      <c r="B141" s="19">
        <v>3656</v>
      </c>
      <c r="C141" s="20">
        <v>4.03</v>
      </c>
      <c r="D141" s="21">
        <v>31034</v>
      </c>
      <c r="E141" s="22">
        <v>4.1500000000000004</v>
      </c>
      <c r="F141" s="19">
        <v>13388</v>
      </c>
      <c r="G141" s="20">
        <v>7.82</v>
      </c>
      <c r="H141" s="21">
        <v>178662</v>
      </c>
      <c r="I141" s="22">
        <v>7.87</v>
      </c>
    </row>
    <row r="142" spans="1:11" ht="15.75" customHeight="1" thickBot="1" x14ac:dyDescent="0.3">
      <c r="A142" s="23" t="s">
        <v>12</v>
      </c>
      <c r="B142" s="19">
        <v>3656</v>
      </c>
      <c r="C142" s="20">
        <v>4.08</v>
      </c>
      <c r="D142" s="21">
        <v>30984</v>
      </c>
      <c r="E142" s="22">
        <v>4.26</v>
      </c>
      <c r="F142" s="19">
        <v>13398</v>
      </c>
      <c r="G142" s="20">
        <v>7.72</v>
      </c>
      <c r="H142" s="21">
        <v>179324</v>
      </c>
      <c r="I142" s="22">
        <v>7.94</v>
      </c>
      <c r="J142" s="47"/>
    </row>
    <row r="143" spans="1:11" ht="15.75" customHeight="1" thickBot="1" x14ac:dyDescent="0.3">
      <c r="A143" s="23" t="s">
        <v>13</v>
      </c>
      <c r="B143" s="19">
        <v>3670</v>
      </c>
      <c r="C143" s="20">
        <v>3.96</v>
      </c>
      <c r="D143" s="21">
        <v>29552</v>
      </c>
      <c r="E143" s="22">
        <v>4</v>
      </c>
      <c r="F143" s="19">
        <v>13438</v>
      </c>
      <c r="G143" s="20">
        <v>8</v>
      </c>
      <c r="H143" s="21">
        <v>175828</v>
      </c>
      <c r="I143" s="22">
        <v>8.2100000000000009</v>
      </c>
    </row>
    <row r="144" spans="1:11" ht="15.75" customHeight="1" thickBot="1" x14ac:dyDescent="0.3">
      <c r="A144" s="23" t="s">
        <v>14</v>
      </c>
      <c r="B144" s="19">
        <v>3616</v>
      </c>
      <c r="C144" s="20">
        <v>4.13</v>
      </c>
      <c r="D144" s="21">
        <v>30988</v>
      </c>
      <c r="E144" s="22">
        <v>4.33</v>
      </c>
      <c r="F144" s="19">
        <v>13418</v>
      </c>
      <c r="G144" s="20">
        <v>8.18</v>
      </c>
      <c r="H144" s="21">
        <v>179344</v>
      </c>
      <c r="I144" s="22">
        <v>8.3800000000000008</v>
      </c>
    </row>
    <row r="145" spans="1:9" ht="15.75" customHeight="1" thickBot="1" x14ac:dyDescent="0.3">
      <c r="A145" s="24" t="s">
        <v>15</v>
      </c>
      <c r="B145" s="25">
        <v>3622</v>
      </c>
      <c r="C145" s="26">
        <v>4.4000000000000004</v>
      </c>
      <c r="D145" s="27">
        <v>30400</v>
      </c>
      <c r="E145" s="28">
        <v>4.17</v>
      </c>
      <c r="F145" s="25">
        <v>13370</v>
      </c>
      <c r="G145" s="26">
        <v>8.56</v>
      </c>
      <c r="H145" s="27">
        <v>180348</v>
      </c>
      <c r="I145" s="28">
        <v>8.4</v>
      </c>
    </row>
    <row r="146" spans="1:9" ht="15.75" customHeight="1" thickTop="1" thickBot="1" x14ac:dyDescent="0.3">
      <c r="A146" s="9" t="s">
        <v>10</v>
      </c>
      <c r="B146" s="10">
        <f>AVERAGE((B141-$C$12)/$C$12,(B142-$C$12)/$C$12,(B143-$C$12)/$C$12,(B144-$C$12)/$C$12,(B145-$C$12)/$C$12)</f>
        <v>2.8797289666854888E-2</v>
      </c>
      <c r="C146" s="11">
        <f>AVERAGE(C141:C145)</f>
        <v>4.12</v>
      </c>
      <c r="D146" s="10">
        <f>AVERAGE((D141-$E$12)/$E$12,(D142-$E$12)/$E$12,(D143-$E$12)/$E$12,(D144-$E$12)/$E$12,(D145-$E$12)/$E$12)</f>
        <v>0.13824973954457509</v>
      </c>
      <c r="E146" s="11">
        <f>AVERAGE(E141:E145)</f>
        <v>4.1820000000000004</v>
      </c>
      <c r="F146" s="10">
        <f>AVERAGE((F141-$G$12)/$G$12,(F142-$G$12)/$G$12,(F143-$G$12)/$G$12,(F144-$G$12)/$G$12,(F145-$G$12)/$G$12)</f>
        <v>8.3057478182365328E-3</v>
      </c>
      <c r="G146" s="11">
        <f>AVERAGE(G141:G145)</f>
        <v>8.0560000000000009</v>
      </c>
      <c r="H146" s="10">
        <f>AVERAGE((H141-$I$12)/$I$12,(H142-$I$12)/$I$12,(H143-$I$12)/$I$12,(H144-$I$12)/$I$12,(H145-$I$12)/$I$12)</f>
        <v>0.18716252125850341</v>
      </c>
      <c r="I146" s="11">
        <f>AVERAGE(I141:I145)</f>
        <v>8.16</v>
      </c>
    </row>
    <row r="147" spans="1:9" ht="15.75" customHeight="1" thickBot="1" x14ac:dyDescent="0.3">
      <c r="A147" s="23" t="s">
        <v>16</v>
      </c>
      <c r="B147" s="29">
        <f>STDEV((B141-$C$12)/$C$12,(B142-$C$12)/$C$12,(B143-$C$12)/$C$12,(B144-$C$12)/$C$12,(B145-$C$12)/$C$12)</f>
        <v>6.6691201643239292E-3</v>
      </c>
      <c r="C147" s="29">
        <f>STDEV(C141:C145)</f>
        <v>0.16867127793433012</v>
      </c>
      <c r="D147" s="29">
        <f>STDEV((D141-$E$12)/$E$12,(D142-$E$12)/$E$12,(D143-$E$12)/$E$12,(D144-$E$12)/$E$12,(D145-$E$12)/$E$12)</f>
        <v>2.3710431442774675E-2</v>
      </c>
      <c r="E147" s="29">
        <f>STDEV(E141:E145)</f>
        <v>0.12477980605851249</v>
      </c>
      <c r="F147" s="29">
        <f>STDEV((F141-$G$12)/$G$12,(F142-$G$12)/$G$12,(F143-$G$12)/$G$12,(F144-$G$12)/$G$12,(F145-$G$12)/$G$12)</f>
        <v>1.9859290944202732E-3</v>
      </c>
      <c r="G147" s="29">
        <f>STDEV(G141:G145)</f>
        <v>0.33208432664008719</v>
      </c>
      <c r="H147" s="29">
        <f>STDEV((H141-$I$12)/$I$12,(H142-$I$12)/$I$12,(H143-$I$12)/$I$12,(H144-$I$12)/$I$12,(H145-$I$12)/$I$12)</f>
        <v>1.1395619335494113E-2</v>
      </c>
      <c r="I147" s="29">
        <f>STDEV(I141:I145)</f>
        <v>0.24545875417267171</v>
      </c>
    </row>
    <row r="148" spans="1:9" ht="15.75" customHeight="1" x14ac:dyDescent="0.25">
      <c r="B148" s="38"/>
      <c r="C148" s="38"/>
      <c r="D148" s="38"/>
      <c r="E148" s="38"/>
      <c r="F148" s="38"/>
      <c r="G148" s="38"/>
      <c r="H148" s="38"/>
      <c r="I148" s="38"/>
    </row>
    <row r="149" spans="1:9" ht="47.25" thickBot="1" x14ac:dyDescent="0.4">
      <c r="A149" s="46" t="s">
        <v>34</v>
      </c>
      <c r="B149" s="66" t="s">
        <v>0</v>
      </c>
      <c r="C149" s="67"/>
      <c r="D149" s="66" t="s">
        <v>1</v>
      </c>
      <c r="E149" s="67"/>
      <c r="F149" s="66" t="s">
        <v>2</v>
      </c>
      <c r="G149" s="67"/>
      <c r="H149" s="66" t="s">
        <v>3</v>
      </c>
      <c r="I149" s="67"/>
    </row>
    <row r="150" spans="1:9" ht="15.75" customHeight="1" x14ac:dyDescent="0.25">
      <c r="A150" s="68" t="s">
        <v>21</v>
      </c>
      <c r="B150" s="12" t="s">
        <v>5</v>
      </c>
      <c r="C150" s="13">
        <v>20</v>
      </c>
      <c r="D150" s="14" t="s">
        <v>5</v>
      </c>
      <c r="E150" s="13">
        <v>20</v>
      </c>
      <c r="F150" s="14" t="s">
        <v>5</v>
      </c>
      <c r="G150" s="13">
        <v>30</v>
      </c>
      <c r="H150" s="14" t="s">
        <v>5</v>
      </c>
      <c r="I150" s="13">
        <v>30</v>
      </c>
    </row>
    <row r="151" spans="1:9" ht="15.75" customHeight="1" x14ac:dyDescent="0.25">
      <c r="A151" s="76"/>
      <c r="B151" s="71" t="s">
        <v>6</v>
      </c>
      <c r="C151" s="73">
        <v>3542</v>
      </c>
      <c r="D151" s="71" t="s">
        <v>6</v>
      </c>
      <c r="E151" s="73">
        <v>26876</v>
      </c>
      <c r="F151" s="71" t="s">
        <v>6</v>
      </c>
      <c r="G151" s="73">
        <v>13292</v>
      </c>
      <c r="H151" s="71" t="s">
        <v>6</v>
      </c>
      <c r="I151" s="73">
        <v>150528</v>
      </c>
    </row>
    <row r="152" spans="1:9" ht="15.75" customHeight="1" thickBot="1" x14ac:dyDescent="0.3">
      <c r="A152" s="76"/>
      <c r="B152" s="72"/>
      <c r="C152" s="74"/>
      <c r="D152" s="72"/>
      <c r="E152" s="74"/>
      <c r="F152" s="72"/>
      <c r="G152" s="74"/>
      <c r="H152" s="72"/>
      <c r="I152" s="74"/>
    </row>
    <row r="153" spans="1:9" ht="15.75" customHeight="1" thickTop="1" thickBot="1" x14ac:dyDescent="0.3">
      <c r="A153" s="77"/>
      <c r="B153" s="15" t="s">
        <v>7</v>
      </c>
      <c r="C153" s="16" t="s">
        <v>8</v>
      </c>
      <c r="D153" s="15" t="s">
        <v>7</v>
      </c>
      <c r="E153" s="17" t="s">
        <v>8</v>
      </c>
      <c r="F153" s="15" t="s">
        <v>7</v>
      </c>
      <c r="G153" s="16" t="s">
        <v>8</v>
      </c>
      <c r="H153" s="15" t="s">
        <v>7</v>
      </c>
      <c r="I153" s="17" t="s">
        <v>8</v>
      </c>
    </row>
    <row r="154" spans="1:9" ht="15.75" customHeight="1" thickTop="1" thickBot="1" x14ac:dyDescent="0.3">
      <c r="A154" s="39" t="s">
        <v>11</v>
      </c>
      <c r="B154" s="19">
        <v>3632</v>
      </c>
      <c r="C154" s="20">
        <v>4.3</v>
      </c>
      <c r="D154" s="21">
        <v>30650</v>
      </c>
      <c r="E154" s="22">
        <v>4.22</v>
      </c>
      <c r="F154" s="19">
        <v>13364</v>
      </c>
      <c r="G154" s="20">
        <v>8.27</v>
      </c>
      <c r="H154" s="21">
        <v>176566</v>
      </c>
      <c r="I154" s="22">
        <v>8.2200000000000006</v>
      </c>
    </row>
    <row r="155" spans="1:9" ht="15.75" customHeight="1" thickBot="1" x14ac:dyDescent="0.3">
      <c r="A155" s="23" t="s">
        <v>12</v>
      </c>
      <c r="B155" s="19">
        <v>3626</v>
      </c>
      <c r="C155" s="20">
        <v>4.37</v>
      </c>
      <c r="D155" s="21">
        <v>31500</v>
      </c>
      <c r="E155" s="22">
        <v>4.74</v>
      </c>
      <c r="F155" s="19">
        <v>13352</v>
      </c>
      <c r="G155" s="20">
        <v>8.7899999999999991</v>
      </c>
      <c r="H155" s="21">
        <v>174932</v>
      </c>
      <c r="I155" s="22">
        <v>8.81</v>
      </c>
    </row>
    <row r="156" spans="1:9" ht="15.75" customHeight="1" thickBot="1" x14ac:dyDescent="0.3">
      <c r="A156" s="23" t="s">
        <v>13</v>
      </c>
      <c r="B156" s="19">
        <v>3612</v>
      </c>
      <c r="C156" s="20">
        <v>4.76</v>
      </c>
      <c r="D156" s="21">
        <v>31388</v>
      </c>
      <c r="E156" s="22">
        <v>4.62</v>
      </c>
      <c r="F156" s="19">
        <v>13334</v>
      </c>
      <c r="G156" s="20">
        <v>8.69</v>
      </c>
      <c r="H156" s="21">
        <v>157272</v>
      </c>
      <c r="I156" s="22">
        <v>8.74</v>
      </c>
    </row>
    <row r="157" spans="1:9" ht="15.75" customHeight="1" thickBot="1" x14ac:dyDescent="0.3">
      <c r="A157" s="23" t="s">
        <v>14</v>
      </c>
      <c r="B157" s="19">
        <v>3608</v>
      </c>
      <c r="C157" s="20">
        <v>4.5199999999999996</v>
      </c>
      <c r="D157" s="21">
        <v>31114</v>
      </c>
      <c r="E157" s="22">
        <v>4.7699999999999996</v>
      </c>
      <c r="F157" s="19">
        <v>13356</v>
      </c>
      <c r="G157" s="20">
        <v>8.89</v>
      </c>
      <c r="H157" s="21">
        <v>174362</v>
      </c>
      <c r="I157" s="22">
        <v>8.66</v>
      </c>
    </row>
    <row r="158" spans="1:9" ht="15.75" customHeight="1" thickBot="1" x14ac:dyDescent="0.3">
      <c r="A158" s="24" t="s">
        <v>15</v>
      </c>
      <c r="B158" s="25">
        <v>3614</v>
      </c>
      <c r="C158" s="26">
        <v>4.75</v>
      </c>
      <c r="D158" s="27">
        <v>26876</v>
      </c>
      <c r="E158" s="28">
        <v>4.6500000000000004</v>
      </c>
      <c r="F158" s="25">
        <v>13334</v>
      </c>
      <c r="G158" s="26">
        <v>9.0399999999999991</v>
      </c>
      <c r="H158" s="27">
        <v>150528</v>
      </c>
      <c r="I158" s="28">
        <v>8.6199999999999992</v>
      </c>
    </row>
    <row r="159" spans="1:9" ht="15.75" customHeight="1" thickTop="1" thickBot="1" x14ac:dyDescent="0.3">
      <c r="A159" s="9" t="s">
        <v>10</v>
      </c>
      <c r="B159" s="10">
        <f>AVERAGE((B154-$C$12)/$C$12,(B155-$C$12)/$C$12,(B156-$C$12)/$C$12,(B157-$C$12)/$C$12,(B158-$C$12)/$C$12)</f>
        <v>2.1569734613212876E-2</v>
      </c>
      <c r="C159" s="11">
        <f>AVERAGE(C154:C158)</f>
        <v>4.54</v>
      </c>
      <c r="D159" s="10">
        <f>AVERAGE((D154-$E$12)/$E$12,(D155-$E$12)/$E$12,(D156-$E$12)/$E$12,(D157-$E$12)/$E$12,(D158-$E$12)/$E$12)</f>
        <v>0.1276082750409287</v>
      </c>
      <c r="E159" s="11">
        <f>AVERAGE(E154:E158)</f>
        <v>4.5999999999999996</v>
      </c>
      <c r="F159" s="10">
        <f>AVERAGE((F154-$G$12)/$G$12,(F155-$G$12)/$G$12,(F156-$G$12)/$G$12,(F157-$G$12)/$G$12,(F158-$G$12)/$G$12)</f>
        <v>4.2130604875112851E-3</v>
      </c>
      <c r="G159" s="11">
        <f>AVERAGE(G154:G158)</f>
        <v>8.7360000000000007</v>
      </c>
      <c r="H159" s="10">
        <f>AVERAGE((H154-$I$12)/$I$12,(H155-$I$12)/$I$12,(H156-$I$12)/$I$12,(H157-$I$12)/$I$12,(H158-$I$12)/$I$12)</f>
        <v>0.10764774659863945</v>
      </c>
      <c r="I159" s="11">
        <f>AVERAGE(I154:I158)</f>
        <v>8.6100000000000012</v>
      </c>
    </row>
    <row r="160" spans="1:9" ht="15.75" customHeight="1" thickBot="1" x14ac:dyDescent="0.3">
      <c r="A160" s="23" t="s">
        <v>16</v>
      </c>
      <c r="B160" s="29">
        <f>STDEV((B154-$C$12)/$C$12,(B155-$C$12)/$C$12,(B156-$C$12)/$C$12,(B157-$C$12)/$C$12,(B158-$C$12)/$C$12)</f>
        <v>2.8625165117191586E-3</v>
      </c>
      <c r="C160" s="29">
        <f>STDEV(C154:C158)</f>
        <v>0.21177818584547367</v>
      </c>
      <c r="D160" s="29">
        <f>STDEV((D154-$E$12)/$E$12,(D155-$E$12)/$E$12,(D156-$E$12)/$E$12,(D157-$E$12)/$E$12,(D158-$E$12)/$E$12)</f>
        <v>7.2370259141833315E-2</v>
      </c>
      <c r="E160" s="29">
        <f>STDEV(E154:E158)</f>
        <v>0.22124646889837596</v>
      </c>
      <c r="F160" s="29">
        <f>STDEV((F154-$G$12)/$G$12,(F155-$G$12)/$G$12,(F156-$G$12)/$G$12,(F157-$G$12)/$G$12,(F158-$G$12)/$G$12)</f>
        <v>1.0149516674113786E-3</v>
      </c>
      <c r="G160" s="29">
        <f>STDEV(G154:G158)</f>
        <v>0.29082640870457416</v>
      </c>
      <c r="H160" s="29">
        <f>STDEV((H154-$I$12)/$I$12,(H155-$I$12)/$I$12,(H156-$I$12)/$I$12,(H157-$I$12)/$I$12,(H158-$I$12)/$I$12)</f>
        <v>7.9596508032545324E-2</v>
      </c>
      <c r="I160" s="29">
        <f>STDEV(I154:I158)</f>
        <v>0.22999999999999987</v>
      </c>
    </row>
    <row r="161" spans="1:15" ht="15.75" customHeight="1" x14ac:dyDescent="0.25">
      <c r="A161" s="37"/>
      <c r="B161" s="38"/>
      <c r="C161" s="38"/>
      <c r="D161" s="38"/>
      <c r="E161" s="38"/>
      <c r="F161" s="38"/>
      <c r="G161" s="38"/>
      <c r="H161" s="38"/>
      <c r="I161" s="38"/>
    </row>
    <row r="162" spans="1:15" ht="15.75" customHeight="1" x14ac:dyDescent="0.25">
      <c r="B162" s="38"/>
      <c r="C162" s="38"/>
      <c r="D162" s="38"/>
      <c r="E162" s="38"/>
      <c r="F162" s="38"/>
      <c r="G162" s="38"/>
      <c r="H162" s="38"/>
      <c r="I162" s="38"/>
    </row>
    <row r="163" spans="1:15" ht="47.25" thickBot="1" x14ac:dyDescent="0.4">
      <c r="A163" s="46" t="s">
        <v>35</v>
      </c>
      <c r="B163" s="66" t="s">
        <v>0</v>
      </c>
      <c r="C163" s="67"/>
      <c r="D163" s="66" t="s">
        <v>1</v>
      </c>
      <c r="E163" s="67"/>
      <c r="F163" s="66" t="s">
        <v>2</v>
      </c>
      <c r="G163" s="67"/>
      <c r="H163" s="66" t="s">
        <v>3</v>
      </c>
      <c r="I163" s="67"/>
    </row>
    <row r="164" spans="1:15" ht="15.75" customHeight="1" x14ac:dyDescent="0.25">
      <c r="A164" s="68" t="s">
        <v>21</v>
      </c>
      <c r="B164" s="12" t="s">
        <v>5</v>
      </c>
      <c r="C164" s="13">
        <v>20</v>
      </c>
      <c r="D164" s="14" t="s">
        <v>5</v>
      </c>
      <c r="E164" s="13">
        <v>20</v>
      </c>
      <c r="F164" s="14" t="s">
        <v>5</v>
      </c>
      <c r="G164" s="13">
        <v>30</v>
      </c>
      <c r="H164" s="14" t="s">
        <v>5</v>
      </c>
      <c r="I164" s="13">
        <v>30</v>
      </c>
    </row>
    <row r="165" spans="1:15" ht="15.75" customHeight="1" x14ac:dyDescent="0.25">
      <c r="A165" s="69"/>
      <c r="B165" s="71" t="s">
        <v>6</v>
      </c>
      <c r="C165" s="73">
        <v>3542</v>
      </c>
      <c r="D165" s="71" t="s">
        <v>6</v>
      </c>
      <c r="E165" s="73">
        <v>26876</v>
      </c>
      <c r="F165" s="71" t="s">
        <v>6</v>
      </c>
      <c r="G165" s="73">
        <v>13292</v>
      </c>
      <c r="H165" s="71" t="s">
        <v>6</v>
      </c>
      <c r="I165" s="73">
        <v>150528</v>
      </c>
    </row>
    <row r="166" spans="1:15" ht="15.75" customHeight="1" thickBot="1" x14ac:dyDescent="0.3">
      <c r="A166" s="69"/>
      <c r="B166" s="72"/>
      <c r="C166" s="74"/>
      <c r="D166" s="72"/>
      <c r="E166" s="74"/>
      <c r="F166" s="72"/>
      <c r="G166" s="74"/>
      <c r="H166" s="72"/>
      <c r="I166" s="74"/>
    </row>
    <row r="167" spans="1:15" ht="15.75" customHeight="1" thickTop="1" thickBot="1" x14ac:dyDescent="0.3">
      <c r="A167" s="70"/>
      <c r="B167" s="15" t="s">
        <v>7</v>
      </c>
      <c r="C167" s="16" t="s">
        <v>8</v>
      </c>
      <c r="D167" s="15" t="s">
        <v>7</v>
      </c>
      <c r="E167" s="17" t="s">
        <v>8</v>
      </c>
      <c r="F167" s="15" t="s">
        <v>7</v>
      </c>
      <c r="G167" s="16" t="s">
        <v>8</v>
      </c>
      <c r="H167" s="15" t="s">
        <v>7</v>
      </c>
      <c r="I167" s="17" t="s">
        <v>8</v>
      </c>
    </row>
    <row r="168" spans="1:15" ht="15.75" customHeight="1" thickTop="1" thickBot="1" x14ac:dyDescent="0.3">
      <c r="A168" s="18" t="s">
        <v>11</v>
      </c>
      <c r="B168" s="19">
        <v>3632</v>
      </c>
      <c r="C168" s="20">
        <v>4.8</v>
      </c>
      <c r="D168" s="21">
        <v>26876</v>
      </c>
      <c r="E168" s="22">
        <v>4.5599999999999996</v>
      </c>
      <c r="F168" s="19">
        <v>13344</v>
      </c>
      <c r="G168" s="20">
        <v>9.14</v>
      </c>
      <c r="H168" s="21">
        <v>176034</v>
      </c>
      <c r="I168" s="22">
        <v>8.82</v>
      </c>
    </row>
    <row r="169" spans="1:15" ht="15.75" customHeight="1" thickBot="1" x14ac:dyDescent="0.3">
      <c r="A169" s="23" t="s">
        <v>12</v>
      </c>
      <c r="B169" s="19">
        <v>3600</v>
      </c>
      <c r="C169" s="20">
        <v>5.0220000000000002</v>
      </c>
      <c r="D169" s="21">
        <v>30688</v>
      </c>
      <c r="E169" s="22">
        <v>4.9000000000000004</v>
      </c>
      <c r="F169" s="19">
        <v>13356</v>
      </c>
      <c r="G169" s="20">
        <v>11.44</v>
      </c>
      <c r="H169" s="21">
        <v>152826</v>
      </c>
      <c r="I169" s="22">
        <v>8.65</v>
      </c>
    </row>
    <row r="170" spans="1:15" ht="15.75" customHeight="1" thickBot="1" x14ac:dyDescent="0.3">
      <c r="A170" s="23" t="s">
        <v>13</v>
      </c>
      <c r="B170" s="19">
        <v>3598</v>
      </c>
      <c r="C170" s="20">
        <v>5.1100000000000003</v>
      </c>
      <c r="D170" s="21">
        <v>31344</v>
      </c>
      <c r="E170" s="22">
        <v>4.9000000000000004</v>
      </c>
      <c r="F170" s="19">
        <v>13328</v>
      </c>
      <c r="G170" s="20">
        <v>9.5</v>
      </c>
      <c r="H170" s="21">
        <v>150528</v>
      </c>
      <c r="I170" s="22">
        <v>9.31</v>
      </c>
    </row>
    <row r="171" spans="1:15" ht="15.75" customHeight="1" thickBot="1" x14ac:dyDescent="0.3">
      <c r="A171" s="23" t="s">
        <v>14</v>
      </c>
      <c r="B171" s="19">
        <v>3592</v>
      </c>
      <c r="C171" s="20">
        <v>5.27</v>
      </c>
      <c r="D171" s="21">
        <v>30890</v>
      </c>
      <c r="E171" s="22">
        <v>4.95</v>
      </c>
      <c r="F171" s="19">
        <v>13358</v>
      </c>
      <c r="G171" s="20">
        <v>9.16</v>
      </c>
      <c r="H171" s="21">
        <v>172976</v>
      </c>
      <c r="I171" s="22">
        <v>9.5299999999999994</v>
      </c>
    </row>
    <row r="172" spans="1:15" ht="15.75" customHeight="1" thickBot="1" x14ac:dyDescent="0.3">
      <c r="A172" s="24" t="s">
        <v>15</v>
      </c>
      <c r="B172" s="25">
        <v>3582</v>
      </c>
      <c r="C172" s="26">
        <v>5.07</v>
      </c>
      <c r="D172" s="27">
        <v>27656</v>
      </c>
      <c r="E172" s="28">
        <v>5.3</v>
      </c>
      <c r="F172" s="25">
        <v>13308</v>
      </c>
      <c r="G172" s="26">
        <v>9.31</v>
      </c>
      <c r="H172" s="27">
        <v>174942</v>
      </c>
      <c r="I172" s="28">
        <v>9.42</v>
      </c>
    </row>
    <row r="173" spans="1:15" ht="15.75" customHeight="1" thickTop="1" thickBot="1" x14ac:dyDescent="0.3">
      <c r="A173" s="9" t="s">
        <v>10</v>
      </c>
      <c r="B173" s="10">
        <f>AVERAGE((B168-$C$12)/$C$12,(B169-$C$12)/$C$12,(B170-$C$12)/$C$12,(B171-$C$12)/$C$12,(B172-$C$12)/$C$12)</f>
        <v>1.660079051383399E-2</v>
      </c>
      <c r="C173" s="11">
        <f>AVERAGE(C168:C172)</f>
        <v>5.0543999999999993</v>
      </c>
      <c r="D173" s="10">
        <f>AVERAGE((D168-$E$12)/$E$12,(D169-$E$12)/$E$12,(D170-$E$12)/$E$12,(D171-$E$12)/$E$12,(D172-$E$12)/$E$12)</f>
        <v>9.7291263580890006E-2</v>
      </c>
      <c r="E173" s="11">
        <f>AVERAGE(E168:E172)</f>
        <v>4.9220000000000006</v>
      </c>
      <c r="F173" s="10">
        <f>AVERAGE((F168-$G$12)/$G$12,(F169-$G$12)/$G$12,(F170-$G$12)/$G$12,(F171-$G$12)/$G$12,(F172-$G$12)/$G$12)</f>
        <v>3.5209148359915737E-3</v>
      </c>
      <c r="G173" s="11">
        <f>AVERAGE(G168:G172)</f>
        <v>9.7099999999999991</v>
      </c>
      <c r="H173" s="10">
        <f>AVERAGE((H168-$I$12)/$I$12,(H169-$I$12)/$I$12,(H170-$I$12)/$I$12,(H171-$I$12)/$I$12,(H172-$I$12)/$I$12)</f>
        <v>9.9205463435374147E-2</v>
      </c>
      <c r="I173" s="11">
        <f>AVERAGE(I168:I172)</f>
        <v>9.1460000000000008</v>
      </c>
    </row>
    <row r="174" spans="1:15" ht="15.75" customHeight="1" thickBot="1" x14ac:dyDescent="0.3">
      <c r="A174" s="23" t="s">
        <v>16</v>
      </c>
      <c r="B174" s="29">
        <f>STDEV((B168-$C$12)/$C$12,(B169-$C$12)/$C$12,(B170-$C$12)/$C$12,(B171-$C$12)/$C$12,(B172-$C$12)/$C$12)</f>
        <v>5.3059333532844786E-3</v>
      </c>
      <c r="C174" s="29">
        <f>STDEV(C168:C172)</f>
        <v>0.16999058797474637</v>
      </c>
      <c r="D174" s="29">
        <f>STDEV((D168-$E$12)/$E$12,(D169-$E$12)/$E$12,(D170-$E$12)/$E$12,(D171-$E$12)/$E$12,(D172-$E$12)/$E$12)</f>
        <v>7.6771640678876193E-2</v>
      </c>
      <c r="E174" s="29">
        <f>STDEV(E168:E172)</f>
        <v>0.2625261891697665</v>
      </c>
      <c r="F174" s="29">
        <f>STDEV((F168-$G$12)/$G$12,(F169-$G$12)/$G$12,(F170-$G$12)/$G$12,(F171-$G$12)/$G$12,(F172-$G$12)/$G$12)</f>
        <v>1.5766701050171214E-3</v>
      </c>
      <c r="G174" s="29">
        <f>STDEV(G168:G172)</f>
        <v>0.97780366127357043</v>
      </c>
      <c r="H174" s="29">
        <f>STDEV((H168-$I$12)/$I$12,(H169-$I$12)/$I$12,(H170-$I$12)/$I$12,(H171-$I$12)/$I$12,(H172-$I$12)/$I$12)</f>
        <v>8.4083501514821843E-2</v>
      </c>
      <c r="I174" s="29">
        <f>STDEV(I168:I172)</f>
        <v>0.3878530649614616</v>
      </c>
    </row>
    <row r="175" spans="1:15" ht="15.75" customHeight="1" x14ac:dyDescent="0.25"/>
    <row r="176" spans="1:15" ht="15.75" customHeight="1" thickBot="1" x14ac:dyDescent="0.3">
      <c r="O176" t="str">
        <f>J182</f>
        <v>Media</v>
      </c>
    </row>
    <row r="177" spans="1:15" ht="15.75" customHeight="1" thickTop="1" thickBot="1" x14ac:dyDescent="0.3">
      <c r="N177" s="52" t="str">
        <f>A183</f>
        <v>iteraciones: 10</v>
      </c>
      <c r="O177" s="41">
        <f>J183</f>
        <v>0.11123933620710502</v>
      </c>
    </row>
    <row r="178" spans="1:15" ht="15.75" customHeight="1" thickTop="1" thickBot="1" x14ac:dyDescent="0.3">
      <c r="N178" s="52" t="str">
        <f>A184</f>
        <v>iteraciones: 50</v>
      </c>
      <c r="O178" s="41">
        <f>J184</f>
        <v>6.525970418507307E-2</v>
      </c>
    </row>
    <row r="179" spans="1:15" ht="15.75" customHeight="1" thickTop="1" thickBot="1" x14ac:dyDescent="0.3">
      <c r="N179" s="52" t="str">
        <f>A185</f>
        <v>iteraciones: 100</v>
      </c>
      <c r="O179" s="41">
        <f>J185</f>
        <v>5.4154608091522428E-2</v>
      </c>
    </row>
    <row r="180" spans="1:15" ht="15.75" customHeight="1" thickTop="1" thickBot="1" x14ac:dyDescent="0.3"/>
    <row r="181" spans="1:15" ht="15.75" customHeight="1" thickTop="1" thickBot="1" x14ac:dyDescent="0.3">
      <c r="A181" s="59" t="s">
        <v>32</v>
      </c>
      <c r="B181" s="60" t="s">
        <v>0</v>
      </c>
      <c r="C181" s="61"/>
      <c r="D181" s="62" t="s">
        <v>1</v>
      </c>
      <c r="E181" s="61"/>
      <c r="F181" s="62" t="s">
        <v>2</v>
      </c>
      <c r="G181" s="61"/>
      <c r="H181" s="62" t="s">
        <v>3</v>
      </c>
      <c r="I181" s="63"/>
      <c r="J181" s="64" t="s">
        <v>19</v>
      </c>
      <c r="K181" s="65"/>
    </row>
    <row r="182" spans="1:15" ht="15.75" customHeight="1" thickBot="1" x14ac:dyDescent="0.3">
      <c r="A182" s="59"/>
      <c r="B182" s="15" t="s">
        <v>10</v>
      </c>
      <c r="C182" s="16" t="s">
        <v>8</v>
      </c>
      <c r="D182" s="15" t="s">
        <v>10</v>
      </c>
      <c r="E182" s="17" t="s">
        <v>8</v>
      </c>
      <c r="F182" s="15" t="s">
        <v>10</v>
      </c>
      <c r="G182" s="16" t="s">
        <v>8</v>
      </c>
      <c r="H182" s="15" t="s">
        <v>10</v>
      </c>
      <c r="I182" s="17" t="s">
        <v>8</v>
      </c>
      <c r="J182" s="31" t="s">
        <v>10</v>
      </c>
      <c r="K182" s="32" t="s">
        <v>8</v>
      </c>
      <c r="O182" s="57" t="s">
        <v>39</v>
      </c>
    </row>
    <row r="183" spans="1:15" ht="15.75" customHeight="1" thickTop="1" thickBot="1" x14ac:dyDescent="0.3">
      <c r="A183" s="53" t="s">
        <v>38</v>
      </c>
      <c r="B183" s="48">
        <f t="shared" ref="B183:I183" si="24">B146</f>
        <v>2.8797289666854888E-2</v>
      </c>
      <c r="C183" s="29">
        <f t="shared" si="24"/>
        <v>4.12</v>
      </c>
      <c r="D183" s="42">
        <f t="shared" si="24"/>
        <v>0.13824973954457509</v>
      </c>
      <c r="E183" s="29">
        <f t="shared" si="24"/>
        <v>4.1820000000000004</v>
      </c>
      <c r="F183" s="42">
        <f t="shared" si="24"/>
        <v>8.3057478182365328E-3</v>
      </c>
      <c r="G183" s="29">
        <f t="shared" si="24"/>
        <v>8.0560000000000009</v>
      </c>
      <c r="H183" s="42">
        <f t="shared" si="24"/>
        <v>0.18716252125850341</v>
      </c>
      <c r="I183" s="29">
        <f t="shared" si="24"/>
        <v>8.16</v>
      </c>
      <c r="J183" s="44">
        <f>AVERAGE(B182,D183,F183,H183)</f>
        <v>0.11123933620710502</v>
      </c>
      <c r="K183" s="34">
        <f t="shared" ref="K183:K185" si="25">AVERAGE(C183,E183,G183,I183)</f>
        <v>6.1295000000000002</v>
      </c>
      <c r="N183" t="str">
        <f>A183</f>
        <v>iteraciones: 10</v>
      </c>
      <c r="O183" s="54">
        <f t="shared" ref="O183:O185" si="26">K183</f>
        <v>6.1295000000000002</v>
      </c>
    </row>
    <row r="184" spans="1:15" ht="15.75" customHeight="1" thickTop="1" thickBot="1" x14ac:dyDescent="0.3">
      <c r="A184" s="52" t="s">
        <v>37</v>
      </c>
      <c r="B184" s="48">
        <f t="shared" ref="B184:I184" si="27">B159</f>
        <v>2.1569734613212876E-2</v>
      </c>
      <c r="C184" s="29">
        <f t="shared" si="27"/>
        <v>4.54</v>
      </c>
      <c r="D184" s="42">
        <f t="shared" si="27"/>
        <v>0.1276082750409287</v>
      </c>
      <c r="E184" s="29">
        <f t="shared" si="27"/>
        <v>4.5999999999999996</v>
      </c>
      <c r="F184" s="42">
        <f t="shared" si="27"/>
        <v>4.2130604875112851E-3</v>
      </c>
      <c r="G184" s="29">
        <f t="shared" si="27"/>
        <v>8.7360000000000007</v>
      </c>
      <c r="H184" s="42">
        <f t="shared" si="27"/>
        <v>0.10764774659863945</v>
      </c>
      <c r="I184" s="29">
        <f t="shared" si="27"/>
        <v>8.6100000000000012</v>
      </c>
      <c r="J184" s="44">
        <f t="shared" ref="J184:J185" si="28">AVERAGE(B184,D184,F184,H184)</f>
        <v>6.525970418507307E-2</v>
      </c>
      <c r="K184" s="34">
        <f t="shared" si="25"/>
        <v>6.6215000000000011</v>
      </c>
      <c r="N184" t="str">
        <f t="shared" ref="N184:N185" si="29">A184</f>
        <v>iteraciones: 50</v>
      </c>
      <c r="O184" s="54">
        <f t="shared" si="26"/>
        <v>6.6215000000000011</v>
      </c>
    </row>
    <row r="185" spans="1:15" ht="15.75" customHeight="1" thickTop="1" thickBot="1" x14ac:dyDescent="0.3">
      <c r="A185" s="52" t="s">
        <v>36</v>
      </c>
      <c r="B185" s="49">
        <f t="shared" ref="B185:I185" si="30">B173</f>
        <v>1.660079051383399E-2</v>
      </c>
      <c r="C185" s="35">
        <f t="shared" si="30"/>
        <v>5.0543999999999993</v>
      </c>
      <c r="D185" s="43">
        <f t="shared" si="30"/>
        <v>9.7291263580890006E-2</v>
      </c>
      <c r="E185" s="35">
        <f t="shared" si="30"/>
        <v>4.9220000000000006</v>
      </c>
      <c r="F185" s="43">
        <f t="shared" si="30"/>
        <v>3.5209148359915737E-3</v>
      </c>
      <c r="G185" s="35">
        <f t="shared" si="30"/>
        <v>9.7099999999999991</v>
      </c>
      <c r="H185" s="43">
        <f t="shared" si="30"/>
        <v>9.9205463435374147E-2</v>
      </c>
      <c r="I185" s="35">
        <f t="shared" si="30"/>
        <v>9.1460000000000008</v>
      </c>
      <c r="J185" s="44">
        <f t="shared" si="28"/>
        <v>5.4154608091522428E-2</v>
      </c>
      <c r="K185" s="34">
        <f t="shared" si="25"/>
        <v>7.2081</v>
      </c>
      <c r="N185" t="str">
        <f t="shared" si="29"/>
        <v>iteraciones: 100</v>
      </c>
      <c r="O185" s="54">
        <f t="shared" si="26"/>
        <v>7.2081</v>
      </c>
    </row>
    <row r="186" spans="1:15" ht="15.75" customHeight="1" thickTop="1" x14ac:dyDescent="0.4">
      <c r="A186" s="30"/>
    </row>
    <row r="187" spans="1:15" ht="15.75" customHeight="1" x14ac:dyDescent="0.25"/>
    <row r="188" spans="1:15" ht="15.75" customHeight="1" thickBot="1" x14ac:dyDescent="0.3"/>
    <row r="189" spans="1:15" ht="15.75" customHeight="1" thickTop="1" thickBot="1" x14ac:dyDescent="0.3">
      <c r="A189" s="59" t="s">
        <v>32</v>
      </c>
      <c r="B189" s="60" t="s">
        <v>0</v>
      </c>
      <c r="C189" s="61"/>
      <c r="D189" s="62" t="s">
        <v>1</v>
      </c>
      <c r="E189" s="61"/>
      <c r="F189" s="62" t="s">
        <v>2</v>
      </c>
      <c r="G189" s="61"/>
      <c r="H189" s="62" t="s">
        <v>3</v>
      </c>
      <c r="I189" s="63"/>
      <c r="J189" s="64" t="s">
        <v>17</v>
      </c>
      <c r="K189" s="65"/>
    </row>
    <row r="190" spans="1:15" ht="15.75" customHeight="1" thickBot="1" x14ac:dyDescent="0.3">
      <c r="A190" s="59"/>
      <c r="B190" s="15" t="s">
        <v>18</v>
      </c>
      <c r="C190" s="16" t="s">
        <v>8</v>
      </c>
      <c r="D190" s="15" t="s">
        <v>18</v>
      </c>
      <c r="E190" s="17" t="s">
        <v>8</v>
      </c>
      <c r="F190" s="15" t="s">
        <v>18</v>
      </c>
      <c r="G190" s="16" t="s">
        <v>8</v>
      </c>
      <c r="H190" s="15" t="s">
        <v>18</v>
      </c>
      <c r="I190" s="17" t="s">
        <v>8</v>
      </c>
      <c r="J190" s="31" t="s">
        <v>18</v>
      </c>
      <c r="K190" s="32" t="s">
        <v>8</v>
      </c>
    </row>
    <row r="191" spans="1:15" ht="15.75" customHeight="1" thickTop="1" thickBot="1" x14ac:dyDescent="0.3">
      <c r="A191" s="53" t="s">
        <v>38</v>
      </c>
      <c r="B191" s="50">
        <f t="shared" ref="B191:I191" si="31">B147</f>
        <v>6.6691201643239292E-3</v>
      </c>
      <c r="C191" s="50">
        <f t="shared" si="31"/>
        <v>0.16867127793433012</v>
      </c>
      <c r="D191" s="50">
        <f t="shared" si="31"/>
        <v>2.3710431442774675E-2</v>
      </c>
      <c r="E191" s="50">
        <f t="shared" si="31"/>
        <v>0.12477980605851249</v>
      </c>
      <c r="F191" s="50">
        <f t="shared" si="31"/>
        <v>1.9859290944202732E-3</v>
      </c>
      <c r="G191" s="50">
        <f t="shared" si="31"/>
        <v>0.33208432664008719</v>
      </c>
      <c r="H191" s="50">
        <f t="shared" si="31"/>
        <v>1.1395619335494113E-2</v>
      </c>
      <c r="I191" s="50">
        <f t="shared" si="31"/>
        <v>0.24545875417267171</v>
      </c>
      <c r="J191" s="33">
        <f t="shared" ref="J191:J193" si="32">AVERAGE(B191,D191,F191,H191)</f>
        <v>1.0940275009253249E-2</v>
      </c>
      <c r="K191" s="34">
        <f t="shared" ref="K191:K193" si="33">AVERAGE(C191,E191,G191,I191)</f>
        <v>0.21774854120140039</v>
      </c>
    </row>
    <row r="192" spans="1:15" ht="15.75" customHeight="1" thickTop="1" thickBot="1" x14ac:dyDescent="0.3">
      <c r="A192" s="52" t="s">
        <v>37</v>
      </c>
      <c r="B192" s="50">
        <f t="shared" ref="B192:I192" si="34">B160</f>
        <v>2.8625165117191586E-3</v>
      </c>
      <c r="C192" s="50">
        <f t="shared" si="34"/>
        <v>0.21177818584547367</v>
      </c>
      <c r="D192" s="50">
        <f t="shared" si="34"/>
        <v>7.2370259141833315E-2</v>
      </c>
      <c r="E192" s="50">
        <f t="shared" si="34"/>
        <v>0.22124646889837596</v>
      </c>
      <c r="F192" s="50">
        <f t="shared" si="34"/>
        <v>1.0149516674113786E-3</v>
      </c>
      <c r="G192" s="50">
        <f t="shared" si="34"/>
        <v>0.29082640870457416</v>
      </c>
      <c r="H192" s="50">
        <f t="shared" si="34"/>
        <v>7.9596508032545324E-2</v>
      </c>
      <c r="I192" s="50">
        <f t="shared" si="34"/>
        <v>0.22999999999999987</v>
      </c>
      <c r="J192" s="33">
        <f t="shared" si="32"/>
        <v>3.8961058838377291E-2</v>
      </c>
      <c r="K192" s="34">
        <f t="shared" si="33"/>
        <v>0.23846276586210594</v>
      </c>
    </row>
    <row r="193" spans="1:15" ht="15.75" customHeight="1" thickTop="1" thickBot="1" x14ac:dyDescent="0.3">
      <c r="A193" s="52" t="s">
        <v>36</v>
      </c>
      <c r="B193" s="51">
        <f t="shared" ref="B193:I193" si="35">B174</f>
        <v>5.3059333532844786E-3</v>
      </c>
      <c r="C193" s="51">
        <f t="shared" si="35"/>
        <v>0.16999058797474637</v>
      </c>
      <c r="D193" s="51">
        <f t="shared" si="35"/>
        <v>7.6771640678876193E-2</v>
      </c>
      <c r="E193" s="51">
        <f t="shared" si="35"/>
        <v>0.2625261891697665</v>
      </c>
      <c r="F193" s="51">
        <f t="shared" si="35"/>
        <v>1.5766701050171214E-3</v>
      </c>
      <c r="G193" s="51">
        <f t="shared" si="35"/>
        <v>0.97780366127357043</v>
      </c>
      <c r="H193" s="51">
        <f t="shared" si="35"/>
        <v>8.4083501514821843E-2</v>
      </c>
      <c r="I193" s="51">
        <f t="shared" si="35"/>
        <v>0.3878530649614616</v>
      </c>
      <c r="J193" s="33">
        <f t="shared" si="32"/>
        <v>4.1934436412999911E-2</v>
      </c>
      <c r="K193" s="34">
        <f t="shared" si="33"/>
        <v>0.44954337584488618</v>
      </c>
    </row>
    <row r="194" spans="1:15" ht="15.75" customHeight="1" thickTop="1" x14ac:dyDescent="0.25"/>
    <row r="195" spans="1:15" ht="15.75" customHeight="1" x14ac:dyDescent="0.25"/>
    <row r="196" spans="1:15" ht="15.75" customHeight="1" x14ac:dyDescent="0.25"/>
    <row r="197" spans="1:15" ht="15.75" customHeight="1" x14ac:dyDescent="0.25"/>
    <row r="198" spans="1:15" ht="15.75" customHeight="1" x14ac:dyDescent="0.25">
      <c r="A198" s="58" t="s">
        <v>41</v>
      </c>
    </row>
    <row r="199" spans="1:15" ht="15.75" customHeight="1" thickBot="1" x14ac:dyDescent="0.3"/>
    <row r="200" spans="1:15" ht="15.75" customHeight="1" thickTop="1" thickBot="1" x14ac:dyDescent="0.3">
      <c r="A200" s="59" t="s">
        <v>43</v>
      </c>
      <c r="B200" s="60" t="s">
        <v>0</v>
      </c>
      <c r="C200" s="61"/>
      <c r="D200" s="62" t="s">
        <v>1</v>
      </c>
      <c r="E200" s="61"/>
      <c r="F200" s="62" t="s">
        <v>2</v>
      </c>
      <c r="G200" s="61"/>
      <c r="H200" s="62" t="s">
        <v>3</v>
      </c>
      <c r="I200" s="63"/>
      <c r="J200" s="64" t="s">
        <v>19</v>
      </c>
      <c r="K200" s="65"/>
    </row>
    <row r="201" spans="1:15" ht="15.75" customHeight="1" thickBot="1" x14ac:dyDescent="0.3">
      <c r="A201" s="59"/>
      <c r="B201" s="15" t="s">
        <v>10</v>
      </c>
      <c r="C201" s="16" t="s">
        <v>8</v>
      </c>
      <c r="D201" s="15" t="s">
        <v>10</v>
      </c>
      <c r="E201" s="17" t="s">
        <v>8</v>
      </c>
      <c r="F201" s="15" t="s">
        <v>10</v>
      </c>
      <c r="G201" s="16" t="s">
        <v>8</v>
      </c>
      <c r="H201" s="15" t="s">
        <v>10</v>
      </c>
      <c r="I201" s="17" t="s">
        <v>8</v>
      </c>
      <c r="J201" s="31" t="s">
        <v>10</v>
      </c>
      <c r="K201" s="32" t="s">
        <v>8</v>
      </c>
      <c r="O201" s="58" t="s">
        <v>46</v>
      </c>
    </row>
    <row r="202" spans="1:15" ht="15.75" customHeight="1" thickTop="1" thickBot="1" x14ac:dyDescent="0.3">
      <c r="A202" s="53" t="s">
        <v>42</v>
      </c>
      <c r="B202" s="48">
        <v>1.7617165443252397E-2</v>
      </c>
      <c r="C202" s="29">
        <v>8.1819999999999986</v>
      </c>
      <c r="D202" s="42">
        <v>0.12643250483702934</v>
      </c>
      <c r="E202" s="29">
        <v>7.83</v>
      </c>
      <c r="F202" s="42">
        <v>2.9190490520613903E-3</v>
      </c>
      <c r="G202" s="29">
        <v>13.048000000000002</v>
      </c>
      <c r="H202" s="42">
        <v>6.5704719387755101E-2</v>
      </c>
      <c r="I202" s="29">
        <v>12.847999999999999</v>
      </c>
      <c r="J202" s="44">
        <v>5.3168359680024556E-2</v>
      </c>
      <c r="K202" s="34">
        <v>10.477</v>
      </c>
      <c r="N202" t="str">
        <f>A202</f>
        <v>Evaluaciones: 1000. Iteraciones: 100</v>
      </c>
      <c r="O202" s="41">
        <f t="shared" ref="O202:O204" si="36">J202</f>
        <v>5.3168359680024556E-2</v>
      </c>
    </row>
    <row r="203" spans="1:15" ht="15.75" customHeight="1" thickTop="1" thickBot="1" x14ac:dyDescent="0.3">
      <c r="A203" s="53" t="s">
        <v>44</v>
      </c>
      <c r="B203" s="49">
        <v>1.9424054206662902E-2</v>
      </c>
      <c r="C203" s="35">
        <v>6.33</v>
      </c>
      <c r="D203" s="43">
        <v>9.0980800714392032E-2</v>
      </c>
      <c r="E203" s="35">
        <v>5.9719999999999995</v>
      </c>
      <c r="F203" s="43">
        <v>2.5880228708997895E-3</v>
      </c>
      <c r="G203" s="35">
        <v>10.476000000000001</v>
      </c>
      <c r="H203" s="43">
        <v>3.3142006802721086E-2</v>
      </c>
      <c r="I203" s="35">
        <v>10.585999999999999</v>
      </c>
      <c r="J203" s="44">
        <v>3.6533721148668957E-2</v>
      </c>
      <c r="K203" s="34">
        <v>8.3409999999999993</v>
      </c>
      <c r="N203" t="str">
        <f t="shared" ref="N203:N204" si="37">A203</f>
        <v>Evaluaciones: 2000. Iteraciones: 100</v>
      </c>
      <c r="O203" s="41">
        <f t="shared" si="36"/>
        <v>3.6533721148668957E-2</v>
      </c>
    </row>
    <row r="204" spans="1:15" ht="15.75" customHeight="1" thickTop="1" thickBot="1" x14ac:dyDescent="0.3">
      <c r="A204" s="52" t="s">
        <v>45</v>
      </c>
      <c r="B204" s="49">
        <v>1.660079051383399E-2</v>
      </c>
      <c r="C204" s="35">
        <v>5.0543999999999993</v>
      </c>
      <c r="D204" s="43">
        <v>9.7291263580890006E-2</v>
      </c>
      <c r="E204" s="35">
        <v>4.9220000000000006</v>
      </c>
      <c r="F204" s="43">
        <v>3.5209148359915737E-3</v>
      </c>
      <c r="G204" s="35">
        <v>9.7099999999999991</v>
      </c>
      <c r="H204" s="43">
        <v>9.9205463435374147E-2</v>
      </c>
      <c r="I204" s="35">
        <v>9.1460000000000008</v>
      </c>
      <c r="J204" s="44">
        <v>5.4154608091522428E-2</v>
      </c>
      <c r="K204" s="34">
        <v>7.2081</v>
      </c>
      <c r="N204" t="str">
        <f t="shared" si="37"/>
        <v>Evaluaciones: 5000. Iteraciones: 100</v>
      </c>
      <c r="O204" s="41">
        <f t="shared" si="36"/>
        <v>5.4154608091522428E-2</v>
      </c>
    </row>
    <row r="205" spans="1:15" ht="15.75" customHeight="1" thickTop="1" x14ac:dyDescent="0.4">
      <c r="A205" s="30"/>
    </row>
    <row r="206" spans="1:15" ht="15.75" customHeight="1" x14ac:dyDescent="0.25"/>
    <row r="207" spans="1:15" ht="15.75" customHeight="1" thickBot="1" x14ac:dyDescent="0.3"/>
    <row r="208" spans="1:15" ht="15.75" customHeight="1" thickTop="1" thickBot="1" x14ac:dyDescent="0.3">
      <c r="A208" s="59" t="s">
        <v>43</v>
      </c>
      <c r="B208" s="60" t="s">
        <v>0</v>
      </c>
      <c r="C208" s="61"/>
      <c r="D208" s="62" t="s">
        <v>1</v>
      </c>
      <c r="E208" s="61"/>
      <c r="F208" s="62" t="s">
        <v>2</v>
      </c>
      <c r="G208" s="61"/>
      <c r="H208" s="62" t="s">
        <v>3</v>
      </c>
      <c r="I208" s="63"/>
      <c r="J208" s="64" t="s">
        <v>17</v>
      </c>
      <c r="K208" s="65"/>
    </row>
    <row r="209" spans="1:15" ht="15.75" customHeight="1" thickBot="1" x14ac:dyDescent="0.3">
      <c r="A209" s="59"/>
      <c r="B209" s="15" t="s">
        <v>18</v>
      </c>
      <c r="C209" s="16" t="s">
        <v>8</v>
      </c>
      <c r="D209" s="15" t="s">
        <v>18</v>
      </c>
      <c r="E209" s="17" t="s">
        <v>8</v>
      </c>
      <c r="F209" s="15" t="s">
        <v>18</v>
      </c>
      <c r="G209" s="16" t="s">
        <v>8</v>
      </c>
      <c r="H209" s="15" t="s">
        <v>18</v>
      </c>
      <c r="I209" s="17" t="s">
        <v>8</v>
      </c>
      <c r="J209" s="31" t="s">
        <v>18</v>
      </c>
      <c r="K209" s="32" t="s">
        <v>8</v>
      </c>
      <c r="O209" s="58" t="s">
        <v>40</v>
      </c>
    </row>
    <row r="210" spans="1:15" ht="15.75" customHeight="1" thickTop="1" thickBot="1" x14ac:dyDescent="0.3">
      <c r="A210" s="53" t="s">
        <v>42</v>
      </c>
      <c r="B210" s="50">
        <v>3.3261832806376372E-3</v>
      </c>
      <c r="C210" s="50">
        <v>0.73855940857861879</v>
      </c>
      <c r="D210" s="50">
        <v>5.4600182169322074E-2</v>
      </c>
      <c r="E210" s="50">
        <v>0.50670504240632896</v>
      </c>
      <c r="F210" s="50">
        <v>1.0014782601440709E-3</v>
      </c>
      <c r="G210" s="50">
        <v>0.98146319340054744</v>
      </c>
      <c r="H210" s="50">
        <v>8.3252005271840804E-2</v>
      </c>
      <c r="I210" s="50">
        <v>0.60553282322265578</v>
      </c>
      <c r="J210" s="33">
        <v>3.5544962245486145E-2</v>
      </c>
      <c r="K210" s="34">
        <v>0.70806511690203777</v>
      </c>
      <c r="N210" t="str">
        <f>A202</f>
        <v>Evaluaciones: 1000. Iteraciones: 100</v>
      </c>
      <c r="O210">
        <f t="shared" ref="O210:O212" si="38">K202</f>
        <v>10.477</v>
      </c>
    </row>
    <row r="211" spans="1:15" ht="15.75" customHeight="1" thickTop="1" thickBot="1" x14ac:dyDescent="0.3">
      <c r="A211" s="53" t="s">
        <v>44</v>
      </c>
      <c r="B211" s="50">
        <v>4.8177818199213046E-3</v>
      </c>
      <c r="C211" s="50">
        <v>0.68146900149603284</v>
      </c>
      <c r="D211" s="50">
        <v>8.3115819419898249E-2</v>
      </c>
      <c r="E211" s="50">
        <v>0.57486520159077303</v>
      </c>
      <c r="F211" s="50">
        <v>1.409092358524605E-3</v>
      </c>
      <c r="G211" s="50">
        <v>0.61658738229062082</v>
      </c>
      <c r="H211" s="50">
        <v>7.4107780121644817E-2</v>
      </c>
      <c r="I211" s="50">
        <v>0.52252272677846323</v>
      </c>
      <c r="J211" s="33">
        <v>4.0862618429997243E-2</v>
      </c>
      <c r="K211" s="34">
        <v>0.59886107803897248</v>
      </c>
      <c r="N211" t="str">
        <f t="shared" ref="N211:N212" si="39">A203</f>
        <v>Evaluaciones: 2000. Iteraciones: 100</v>
      </c>
      <c r="O211">
        <f t="shared" si="38"/>
        <v>8.3409999999999993</v>
      </c>
    </row>
    <row r="212" spans="1:15" ht="15.75" customHeight="1" thickTop="1" thickBot="1" x14ac:dyDescent="0.3">
      <c r="A212" s="52" t="s">
        <v>45</v>
      </c>
      <c r="B212" s="51">
        <v>5.3059333532844786E-3</v>
      </c>
      <c r="C212" s="51">
        <v>0.16999058797474637</v>
      </c>
      <c r="D212" s="51">
        <v>7.6771640678876193E-2</v>
      </c>
      <c r="E212" s="51">
        <v>0.2625261891697665</v>
      </c>
      <c r="F212" s="51">
        <v>1.5766701050171214E-3</v>
      </c>
      <c r="G212" s="51">
        <v>0.97780366127357043</v>
      </c>
      <c r="H212" s="51">
        <v>8.4083501514821843E-2</v>
      </c>
      <c r="I212" s="51">
        <v>0.3878530649614616</v>
      </c>
      <c r="J212" s="33">
        <v>4.1934436412999911E-2</v>
      </c>
      <c r="K212" s="34">
        <v>0.44954337584488618</v>
      </c>
      <c r="N212" t="str">
        <f t="shared" si="39"/>
        <v>Evaluaciones: 5000. Iteraciones: 100</v>
      </c>
      <c r="O212">
        <f t="shared" si="38"/>
        <v>7.2081</v>
      </c>
    </row>
    <row r="213" spans="1:15" ht="15.75" customHeight="1" thickTop="1" x14ac:dyDescent="0.25"/>
    <row r="214" spans="1:15" ht="15.75" customHeight="1" x14ac:dyDescent="0.25"/>
    <row r="215" spans="1:15" ht="15.75" customHeight="1" x14ac:dyDescent="0.25"/>
    <row r="216" spans="1:15" ht="15.75" customHeight="1" x14ac:dyDescent="0.25"/>
    <row r="217" spans="1:15" ht="15.75" customHeight="1" x14ac:dyDescent="0.25"/>
    <row r="218" spans="1:15" ht="15.75" customHeight="1" x14ac:dyDescent="0.25"/>
    <row r="219" spans="1:15" ht="15.75" customHeight="1" x14ac:dyDescent="0.25">
      <c r="A219" s="58" t="s">
        <v>47</v>
      </c>
    </row>
    <row r="220" spans="1:15" ht="15.75" customHeight="1" thickBot="1" x14ac:dyDescent="0.3">
      <c r="A220" s="58"/>
    </row>
    <row r="221" spans="1:15" ht="15.75" customHeight="1" thickTop="1" thickBot="1" x14ac:dyDescent="0.3">
      <c r="A221" s="59" t="s">
        <v>47</v>
      </c>
      <c r="B221" s="60" t="s">
        <v>0</v>
      </c>
      <c r="C221" s="61"/>
      <c r="D221" s="62" t="s">
        <v>1</v>
      </c>
      <c r="E221" s="61"/>
      <c r="F221" s="62" t="s">
        <v>2</v>
      </c>
      <c r="G221" s="61"/>
      <c r="H221" s="62" t="s">
        <v>3</v>
      </c>
      <c r="I221" s="63"/>
      <c r="J221" s="64" t="s">
        <v>19</v>
      </c>
      <c r="K221" s="65"/>
    </row>
    <row r="222" spans="1:15" ht="15.75" customHeight="1" thickBot="1" x14ac:dyDescent="0.3">
      <c r="A222" s="59"/>
      <c r="B222" s="15" t="s">
        <v>10</v>
      </c>
      <c r="C222" s="16" t="s">
        <v>8</v>
      </c>
      <c r="D222" s="15" t="s">
        <v>10</v>
      </c>
      <c r="E222" s="17" t="s">
        <v>8</v>
      </c>
      <c r="F222" s="15" t="s">
        <v>10</v>
      </c>
      <c r="G222" s="16" t="s">
        <v>8</v>
      </c>
      <c r="H222" s="15" t="s">
        <v>10</v>
      </c>
      <c r="I222" s="17" t="s">
        <v>8</v>
      </c>
      <c r="J222" s="31" t="s">
        <v>10</v>
      </c>
      <c r="K222" s="32" t="s">
        <v>8</v>
      </c>
      <c r="O222" s="58" t="s">
        <v>50</v>
      </c>
    </row>
    <row r="223" spans="1:15" ht="46.5" thickTop="1" thickBot="1" x14ac:dyDescent="0.3">
      <c r="A223" s="53" t="s">
        <v>28</v>
      </c>
      <c r="B223" s="48">
        <v>1.9424054206662902E-2</v>
      </c>
      <c r="C223" s="29">
        <v>6.33</v>
      </c>
      <c r="D223" s="42">
        <v>9.0980800714392032E-2</v>
      </c>
      <c r="E223" s="29">
        <v>5.9719999999999995</v>
      </c>
      <c r="F223" s="42">
        <v>2.5880228708997895E-3</v>
      </c>
      <c r="G223" s="29">
        <v>10.476000000000001</v>
      </c>
      <c r="H223" s="42">
        <v>3.3142006802721086E-2</v>
      </c>
      <c r="I223" s="29">
        <v>10.585999999999999</v>
      </c>
      <c r="J223" s="44">
        <v>3.6533721148668957E-2</v>
      </c>
      <c r="K223" s="34">
        <v>8.3409999999999993</v>
      </c>
      <c r="N223" t="str">
        <f>A223</f>
        <v>MGen: Cruce=OX2, M=100, E=1, kBest=2, kWorst=3, evaluaciones: 2000, iteraciones: 100</v>
      </c>
      <c r="O223" s="41">
        <f t="shared" ref="O223:O225" si="40">J223</f>
        <v>3.6533721148668957E-2</v>
      </c>
    </row>
    <row r="224" spans="1:15" ht="31.5" thickTop="1" thickBot="1" x14ac:dyDescent="0.3">
      <c r="A224" s="53" t="s">
        <v>49</v>
      </c>
      <c r="B224" s="49">
        <v>1.6E-2</v>
      </c>
      <c r="C224" s="35">
        <v>19.62</v>
      </c>
      <c r="D224" s="43">
        <v>2.3800000000000002E-2</v>
      </c>
      <c r="E224" s="35">
        <v>19.37</v>
      </c>
      <c r="F224" s="43">
        <v>3.3999999999999998E-3</v>
      </c>
      <c r="G224" s="35">
        <v>57.83</v>
      </c>
      <c r="H224" s="43">
        <v>9.2899999999999996E-2</v>
      </c>
      <c r="I224" s="35">
        <v>57.16</v>
      </c>
      <c r="J224" s="44">
        <v>3.4099999999999998E-2</v>
      </c>
      <c r="K224" s="34">
        <v>38.5</v>
      </c>
      <c r="N224" t="str">
        <f t="shared" ref="N224:N225" si="41">A224</f>
        <v>TABU. Tenencia=3, oscilación=0,5, estancamiento=0,05</v>
      </c>
      <c r="O224" s="41">
        <f t="shared" si="40"/>
        <v>3.4099999999999998E-2</v>
      </c>
    </row>
    <row r="225" spans="1:15" ht="31.5" thickTop="1" thickBot="1" x14ac:dyDescent="0.3">
      <c r="A225" s="52" t="s">
        <v>48</v>
      </c>
      <c r="B225" s="48">
        <v>1.9900000000000001E-2</v>
      </c>
      <c r="C225" s="29">
        <v>3.99</v>
      </c>
      <c r="D225" s="42">
        <v>7.8600000000000003E-2</v>
      </c>
      <c r="E225" s="29">
        <v>4.0199999999999996</v>
      </c>
      <c r="F225" s="42">
        <v>9.1000000000000004E-3</v>
      </c>
      <c r="G225" s="29">
        <v>7.72</v>
      </c>
      <c r="H225" s="42">
        <v>0.18179999999999999</v>
      </c>
      <c r="I225" s="29">
        <v>7.81</v>
      </c>
      <c r="J225" s="44">
        <v>7.2300000000000003E-2</v>
      </c>
      <c r="K225" s="34">
        <v>5.88</v>
      </c>
      <c r="N225" t="str">
        <f t="shared" si="41"/>
        <v>Generacional Cruce=MOC, E=2, kBest=3, kWorst=3</v>
      </c>
      <c r="O225" s="41">
        <f t="shared" si="40"/>
        <v>7.2300000000000003E-2</v>
      </c>
    </row>
    <row r="226" spans="1:15" ht="15.75" customHeight="1" thickTop="1" x14ac:dyDescent="0.4">
      <c r="A226" s="30"/>
    </row>
    <row r="227" spans="1:15" ht="15.75" customHeight="1" x14ac:dyDescent="0.25"/>
    <row r="228" spans="1:15" ht="15.75" customHeight="1" thickBot="1" x14ac:dyDescent="0.3"/>
    <row r="229" spans="1:15" ht="15.75" customHeight="1" thickTop="1" thickBot="1" x14ac:dyDescent="0.3">
      <c r="A229" s="59" t="s">
        <v>51</v>
      </c>
      <c r="B229" s="60" t="s">
        <v>0</v>
      </c>
      <c r="C229" s="61"/>
      <c r="D229" s="62" t="s">
        <v>1</v>
      </c>
      <c r="E229" s="61"/>
      <c r="F229" s="62" t="s">
        <v>2</v>
      </c>
      <c r="G229" s="61"/>
      <c r="H229" s="62" t="s">
        <v>3</v>
      </c>
      <c r="I229" s="63"/>
      <c r="J229" s="64" t="s">
        <v>17</v>
      </c>
      <c r="K229" s="65"/>
    </row>
    <row r="230" spans="1:15" ht="15.75" customHeight="1" thickBot="1" x14ac:dyDescent="0.3">
      <c r="A230" s="59"/>
      <c r="B230" s="15" t="s">
        <v>18</v>
      </c>
      <c r="C230" s="16" t="s">
        <v>8</v>
      </c>
      <c r="D230" s="15" t="s">
        <v>18</v>
      </c>
      <c r="E230" s="17" t="s">
        <v>8</v>
      </c>
      <c r="F230" s="15" t="s">
        <v>18</v>
      </c>
      <c r="G230" s="16" t="s">
        <v>8</v>
      </c>
      <c r="H230" s="15" t="s">
        <v>18</v>
      </c>
      <c r="I230" s="17" t="s">
        <v>8</v>
      </c>
      <c r="J230" s="31" t="s">
        <v>18</v>
      </c>
      <c r="K230" s="32" t="s">
        <v>8</v>
      </c>
      <c r="O230" s="58" t="s">
        <v>40</v>
      </c>
    </row>
    <row r="231" spans="1:15" ht="46.5" thickTop="1" thickBot="1" x14ac:dyDescent="0.3">
      <c r="A231" s="53" t="s">
        <v>28</v>
      </c>
      <c r="B231" s="50">
        <v>4.8177818199213046E-3</v>
      </c>
      <c r="C231" s="50">
        <v>0.68146900149603284</v>
      </c>
      <c r="D231" s="50">
        <v>8.3115819419898249E-2</v>
      </c>
      <c r="E231" s="50">
        <v>0.57486520159077303</v>
      </c>
      <c r="F231" s="50">
        <v>1.409092358524605E-3</v>
      </c>
      <c r="G231" s="50">
        <v>0.61658738229062082</v>
      </c>
      <c r="H231" s="50">
        <v>7.4107780121644817E-2</v>
      </c>
      <c r="I231" s="50">
        <v>0.52252272677846323</v>
      </c>
      <c r="J231" s="33">
        <v>4.0862618429997243E-2</v>
      </c>
      <c r="K231" s="34">
        <v>0.59886107803897248</v>
      </c>
      <c r="N231" t="str">
        <f>A223</f>
        <v>MGen: Cruce=OX2, M=100, E=1, kBest=2, kWorst=3, evaluaciones: 2000, iteraciones: 100</v>
      </c>
      <c r="O231">
        <f t="shared" ref="O231:O233" si="42">K223</f>
        <v>8.3409999999999993</v>
      </c>
    </row>
    <row r="232" spans="1:15" ht="31.5" thickTop="1" thickBot="1" x14ac:dyDescent="0.3">
      <c r="A232" s="53" t="s">
        <v>49</v>
      </c>
      <c r="B232" s="50">
        <v>0.01</v>
      </c>
      <c r="C232" s="50">
        <v>0.43</v>
      </c>
      <c r="D232" s="50">
        <v>0.05</v>
      </c>
      <c r="E232" s="50">
        <v>0.16</v>
      </c>
      <c r="F232" s="50">
        <v>0</v>
      </c>
      <c r="G232" s="50">
        <v>0.66</v>
      </c>
      <c r="H232" s="50">
        <v>0.08</v>
      </c>
      <c r="I232" s="50">
        <v>1.76</v>
      </c>
      <c r="J232" s="33">
        <v>0.04</v>
      </c>
      <c r="K232" s="34">
        <v>0.75</v>
      </c>
      <c r="N232" t="str">
        <f t="shared" ref="N232:N233" si="43">A224</f>
        <v>TABU. Tenencia=3, oscilación=0,5, estancamiento=0,05</v>
      </c>
      <c r="O232">
        <f t="shared" si="42"/>
        <v>38.5</v>
      </c>
    </row>
    <row r="233" spans="1:15" ht="31.5" thickTop="1" thickBot="1" x14ac:dyDescent="0.3">
      <c r="A233" s="52" t="s">
        <v>48</v>
      </c>
      <c r="B233" s="51">
        <v>0</v>
      </c>
      <c r="C233" s="51">
        <v>0.15</v>
      </c>
      <c r="D233" s="51">
        <v>7.0000000000000007E-2</v>
      </c>
      <c r="E233" s="51">
        <v>0.21</v>
      </c>
      <c r="F233" s="51">
        <v>0</v>
      </c>
      <c r="G233" s="51">
        <v>0.17</v>
      </c>
      <c r="H233" s="51">
        <v>0</v>
      </c>
      <c r="I233" s="51">
        <v>7.0000000000000007E-2</v>
      </c>
      <c r="J233" s="33">
        <v>0.02</v>
      </c>
      <c r="K233" s="34">
        <v>0.15</v>
      </c>
      <c r="N233" t="str">
        <f t="shared" si="43"/>
        <v>Generacional Cruce=MOC, E=2, kBest=3, kWorst=3</v>
      </c>
      <c r="O233">
        <f t="shared" si="42"/>
        <v>5.88</v>
      </c>
    </row>
    <row r="234" spans="1:15" ht="15.75" customHeight="1" thickTop="1" x14ac:dyDescent="0.25"/>
    <row r="235" spans="1:15" ht="15.75" customHeight="1" x14ac:dyDescent="0.25"/>
    <row r="236" spans="1:15" ht="15.75" customHeight="1" x14ac:dyDescent="0.25"/>
    <row r="237" spans="1:15" ht="15.75" customHeight="1" x14ac:dyDescent="0.25"/>
    <row r="238" spans="1:15" ht="15.75" customHeight="1" x14ac:dyDescent="0.25"/>
    <row r="239" spans="1:15" ht="15.75" customHeight="1" x14ac:dyDescent="0.25"/>
    <row r="240" spans="1:1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</sheetData>
  <mergeCells count="190">
    <mergeCell ref="C165:C166"/>
    <mergeCell ref="D165:D166"/>
    <mergeCell ref="E165:E166"/>
    <mergeCell ref="F165:F166"/>
    <mergeCell ref="G165:G166"/>
    <mergeCell ref="H165:H166"/>
    <mergeCell ref="I165:I166"/>
    <mergeCell ref="J118:K118"/>
    <mergeCell ref="A126:A127"/>
    <mergeCell ref="B126:C126"/>
    <mergeCell ref="D126:E126"/>
    <mergeCell ref="F126:G126"/>
    <mergeCell ref="H126:I126"/>
    <mergeCell ref="J126:K126"/>
    <mergeCell ref="H151:H152"/>
    <mergeCell ref="I151:I152"/>
    <mergeCell ref="A87:A90"/>
    <mergeCell ref="B88:B89"/>
    <mergeCell ref="C88:C89"/>
    <mergeCell ref="D88:D89"/>
    <mergeCell ref="E88:E89"/>
    <mergeCell ref="F88:F89"/>
    <mergeCell ref="G88:G89"/>
    <mergeCell ref="H88:H89"/>
    <mergeCell ref="I88:I89"/>
    <mergeCell ref="B73:C73"/>
    <mergeCell ref="D73:E73"/>
    <mergeCell ref="F73:G73"/>
    <mergeCell ref="H73:I73"/>
    <mergeCell ref="A74:A77"/>
    <mergeCell ref="B75:B76"/>
    <mergeCell ref="C75:C76"/>
    <mergeCell ref="D75:D76"/>
    <mergeCell ref="E75:E76"/>
    <mergeCell ref="F75:F76"/>
    <mergeCell ref="G75:G76"/>
    <mergeCell ref="H75:H76"/>
    <mergeCell ref="I75:I76"/>
    <mergeCell ref="B86:C86"/>
    <mergeCell ref="D86:E86"/>
    <mergeCell ref="F86:G86"/>
    <mergeCell ref="H86:I86"/>
    <mergeCell ref="B100:C100"/>
    <mergeCell ref="D100:E100"/>
    <mergeCell ref="F100:G100"/>
    <mergeCell ref="H100:I100"/>
    <mergeCell ref="A189:A190"/>
    <mergeCell ref="B189:C189"/>
    <mergeCell ref="D189:E189"/>
    <mergeCell ref="F189:G189"/>
    <mergeCell ref="H189:I189"/>
    <mergeCell ref="B136:C136"/>
    <mergeCell ref="D136:E136"/>
    <mergeCell ref="F136:G136"/>
    <mergeCell ref="H136:I136"/>
    <mergeCell ref="A137:A140"/>
    <mergeCell ref="B138:B139"/>
    <mergeCell ref="C138:C139"/>
    <mergeCell ref="D138:D139"/>
    <mergeCell ref="E138:E139"/>
    <mergeCell ref="F138:F139"/>
    <mergeCell ref="G138:G139"/>
    <mergeCell ref="J189:K189"/>
    <mergeCell ref="A181:A182"/>
    <mergeCell ref="B181:C181"/>
    <mergeCell ref="D181:E181"/>
    <mergeCell ref="F181:G181"/>
    <mergeCell ref="H181:I181"/>
    <mergeCell ref="J181:K181"/>
    <mergeCell ref="B149:C149"/>
    <mergeCell ref="D149:E149"/>
    <mergeCell ref="F149:G149"/>
    <mergeCell ref="H149:I149"/>
    <mergeCell ref="A150:A153"/>
    <mergeCell ref="B151:B152"/>
    <mergeCell ref="C151:C152"/>
    <mergeCell ref="D151:D152"/>
    <mergeCell ref="E151:E152"/>
    <mergeCell ref="F151:F152"/>
    <mergeCell ref="G151:G152"/>
    <mergeCell ref="B163:C163"/>
    <mergeCell ref="D163:E163"/>
    <mergeCell ref="F163:G163"/>
    <mergeCell ref="H163:I163"/>
    <mergeCell ref="A164:A167"/>
    <mergeCell ref="B165:B166"/>
    <mergeCell ref="H138:H139"/>
    <mergeCell ref="I138:I139"/>
    <mergeCell ref="A101:A104"/>
    <mergeCell ref="B102:B103"/>
    <mergeCell ref="C102:C103"/>
    <mergeCell ref="D102:D103"/>
    <mergeCell ref="E102:E103"/>
    <mergeCell ref="F102:F103"/>
    <mergeCell ref="G102:G103"/>
    <mergeCell ref="H102:H103"/>
    <mergeCell ref="I102:I103"/>
    <mergeCell ref="A118:A119"/>
    <mergeCell ref="B118:C118"/>
    <mergeCell ref="D118:E118"/>
    <mergeCell ref="F118:G118"/>
    <mergeCell ref="H118:I118"/>
    <mergeCell ref="H23:I23"/>
    <mergeCell ref="A24:A27"/>
    <mergeCell ref="B25:B26"/>
    <mergeCell ref="C25:C26"/>
    <mergeCell ref="D25:D26"/>
    <mergeCell ref="E25:E26"/>
    <mergeCell ref="F25:F26"/>
    <mergeCell ref="G25:G26"/>
    <mergeCell ref="H25:H26"/>
    <mergeCell ref="I25:I26"/>
    <mergeCell ref="B23:C23"/>
    <mergeCell ref="D23:E23"/>
    <mergeCell ref="F23:G23"/>
    <mergeCell ref="B1:C1"/>
    <mergeCell ref="D1:E1"/>
    <mergeCell ref="F1:G1"/>
    <mergeCell ref="H1:I1"/>
    <mergeCell ref="B3:B4"/>
    <mergeCell ref="C3:C4"/>
    <mergeCell ref="F3:F4"/>
    <mergeCell ref="G3:G4"/>
    <mergeCell ref="H3:H4"/>
    <mergeCell ref="I3:I4"/>
    <mergeCell ref="A2:A5"/>
    <mergeCell ref="H12:H13"/>
    <mergeCell ref="I12:I13"/>
    <mergeCell ref="B10:C10"/>
    <mergeCell ref="D10:E10"/>
    <mergeCell ref="F10:G10"/>
    <mergeCell ref="H10:I10"/>
    <mergeCell ref="A11:A14"/>
    <mergeCell ref="D3:D4"/>
    <mergeCell ref="E3:E4"/>
    <mergeCell ref="G12:G13"/>
    <mergeCell ref="B12:B13"/>
    <mergeCell ref="C12:C13"/>
    <mergeCell ref="D12:D13"/>
    <mergeCell ref="E12:E13"/>
    <mergeCell ref="F12:F13"/>
    <mergeCell ref="B37:C37"/>
    <mergeCell ref="F37:G37"/>
    <mergeCell ref="H37:I37"/>
    <mergeCell ref="A38:A41"/>
    <mergeCell ref="B39:B40"/>
    <mergeCell ref="C39:C40"/>
    <mergeCell ref="D39:D40"/>
    <mergeCell ref="E39:E40"/>
    <mergeCell ref="F39:F40"/>
    <mergeCell ref="G39:G40"/>
    <mergeCell ref="H39:H40"/>
    <mergeCell ref="I39:I40"/>
    <mergeCell ref="D37:E37"/>
    <mergeCell ref="J55:K55"/>
    <mergeCell ref="A55:A56"/>
    <mergeCell ref="B55:C55"/>
    <mergeCell ref="D55:E55"/>
    <mergeCell ref="F55:G55"/>
    <mergeCell ref="H55:I55"/>
    <mergeCell ref="H63:I63"/>
    <mergeCell ref="J63:K63"/>
    <mergeCell ref="A63:A64"/>
    <mergeCell ref="B63:C63"/>
    <mergeCell ref="D63:E63"/>
    <mergeCell ref="F63:G63"/>
    <mergeCell ref="A200:A201"/>
    <mergeCell ref="B200:C200"/>
    <mergeCell ref="D200:E200"/>
    <mergeCell ref="F200:G200"/>
    <mergeCell ref="H200:I200"/>
    <mergeCell ref="J200:K200"/>
    <mergeCell ref="A208:A209"/>
    <mergeCell ref="B208:C208"/>
    <mergeCell ref="D208:E208"/>
    <mergeCell ref="F208:G208"/>
    <mergeCell ref="H208:I208"/>
    <mergeCell ref="J208:K208"/>
    <mergeCell ref="A221:A222"/>
    <mergeCell ref="B221:C221"/>
    <mergeCell ref="D221:E221"/>
    <mergeCell ref="F221:G221"/>
    <mergeCell ref="H221:I221"/>
    <mergeCell ref="J221:K221"/>
    <mergeCell ref="A229:A230"/>
    <mergeCell ref="B229:C229"/>
    <mergeCell ref="D229:E229"/>
    <mergeCell ref="F229:G229"/>
    <mergeCell ref="H229:I229"/>
    <mergeCell ref="J229:K229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David Fernández Moreno</cp:lastModifiedBy>
  <dcterms:created xsi:type="dcterms:W3CDTF">2013-03-05T10:35:34Z</dcterms:created>
  <dcterms:modified xsi:type="dcterms:W3CDTF">2025-12-12T11:40:16Z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