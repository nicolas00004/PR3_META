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05CC438DC355128/ANTIGUO/Documentos/PERSONAL/Universidad/Tercero/Primer_Cuatrimestre/Metaheuristicas/Practicas/practica3meta/material/"/>
    </mc:Choice>
  </mc:AlternateContent>
  <xr:revisionPtr revIDLastSave="558" documentId="13_ncr:1_{1EC32BA9-E4D7-4716-B5F6-9BC89E3DA072}" xr6:coauthVersionLast="47" xr6:coauthVersionMax="47" xr10:uidLastSave="{E60BDDC4-7F7C-455D-B14A-3B9604ADF612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VikW6aFnQZD3+pFeBrbI5Ge3EQwVZF+YfUz69iVeCM="/>
    </ext>
  </extLst>
</workbook>
</file>

<file path=xl/calcChain.xml><?xml version="1.0" encoding="utf-8"?>
<calcChain xmlns="http://schemas.openxmlformats.org/spreadsheetml/2006/main">
  <c r="C21" i="1" l="1"/>
  <c r="B21" i="1"/>
  <c r="D21" i="1"/>
  <c r="E21" i="1"/>
  <c r="F21" i="1"/>
  <c r="H21" i="1"/>
  <c r="I21" i="1"/>
  <c r="I20" i="1"/>
  <c r="H20" i="1"/>
  <c r="G20" i="1"/>
  <c r="F20" i="1"/>
  <c r="E20" i="1"/>
  <c r="D20" i="1"/>
  <c r="C20" i="1"/>
  <c r="B20" i="1"/>
  <c r="I174" i="1"/>
  <c r="I193" i="1" s="1"/>
  <c r="H174" i="1"/>
  <c r="H193" i="1" s="1"/>
  <c r="G174" i="1"/>
  <c r="G193" i="1" s="1"/>
  <c r="F174" i="1"/>
  <c r="F193" i="1" s="1"/>
  <c r="E174" i="1"/>
  <c r="E193" i="1" s="1"/>
  <c r="D174" i="1"/>
  <c r="D193" i="1" s="1"/>
  <c r="C174" i="1"/>
  <c r="C193" i="1" s="1"/>
  <c r="B174" i="1"/>
  <c r="B193" i="1" s="1"/>
  <c r="I173" i="1"/>
  <c r="I185" i="1" s="1"/>
  <c r="H173" i="1"/>
  <c r="H185" i="1" s="1"/>
  <c r="G173" i="1"/>
  <c r="G185" i="1" s="1"/>
  <c r="F173" i="1"/>
  <c r="F185" i="1" s="1"/>
  <c r="E173" i="1"/>
  <c r="E185" i="1" s="1"/>
  <c r="D173" i="1"/>
  <c r="D185" i="1" s="1"/>
  <c r="C173" i="1"/>
  <c r="C185" i="1" s="1"/>
  <c r="B173" i="1"/>
  <c r="B185" i="1" s="1"/>
  <c r="I160" i="1"/>
  <c r="I192" i="1" s="1"/>
  <c r="H160" i="1"/>
  <c r="H192" i="1" s="1"/>
  <c r="G160" i="1"/>
  <c r="G192" i="1" s="1"/>
  <c r="F160" i="1"/>
  <c r="F192" i="1" s="1"/>
  <c r="E160" i="1"/>
  <c r="E192" i="1" s="1"/>
  <c r="D160" i="1"/>
  <c r="D192" i="1" s="1"/>
  <c r="C160" i="1"/>
  <c r="C192" i="1" s="1"/>
  <c r="B160" i="1"/>
  <c r="B192" i="1" s="1"/>
  <c r="I159" i="1"/>
  <c r="I184" i="1" s="1"/>
  <c r="H159" i="1"/>
  <c r="H184" i="1" s="1"/>
  <c r="G159" i="1"/>
  <c r="G184" i="1" s="1"/>
  <c r="F159" i="1"/>
  <c r="F184" i="1" s="1"/>
  <c r="E159" i="1"/>
  <c r="E184" i="1" s="1"/>
  <c r="D159" i="1"/>
  <c r="D184" i="1" s="1"/>
  <c r="C159" i="1"/>
  <c r="C184" i="1" s="1"/>
  <c r="B159" i="1"/>
  <c r="B184" i="1" s="1"/>
  <c r="I147" i="1"/>
  <c r="I191" i="1" s="1"/>
  <c r="H147" i="1"/>
  <c r="H191" i="1" s="1"/>
  <c r="G147" i="1"/>
  <c r="G191" i="1" s="1"/>
  <c r="F147" i="1"/>
  <c r="F191" i="1" s="1"/>
  <c r="E147" i="1"/>
  <c r="E191" i="1" s="1"/>
  <c r="D147" i="1"/>
  <c r="D191" i="1" s="1"/>
  <c r="C147" i="1"/>
  <c r="C191" i="1" s="1"/>
  <c r="B147" i="1"/>
  <c r="B191" i="1" s="1"/>
  <c r="I146" i="1"/>
  <c r="I183" i="1" s="1"/>
  <c r="H146" i="1"/>
  <c r="H183" i="1" s="1"/>
  <c r="G146" i="1"/>
  <c r="G183" i="1" s="1"/>
  <c r="F146" i="1"/>
  <c r="F183" i="1" s="1"/>
  <c r="E146" i="1"/>
  <c r="E183" i="1" s="1"/>
  <c r="D146" i="1"/>
  <c r="D183" i="1" s="1"/>
  <c r="C146" i="1"/>
  <c r="C183" i="1" s="1"/>
  <c r="B146" i="1"/>
  <c r="B183" i="1" s="1"/>
  <c r="I111" i="1"/>
  <c r="I130" i="1" s="1"/>
  <c r="H111" i="1"/>
  <c r="H130" i="1" s="1"/>
  <c r="G111" i="1"/>
  <c r="G130" i="1" s="1"/>
  <c r="F111" i="1"/>
  <c r="F130" i="1" s="1"/>
  <c r="E111" i="1"/>
  <c r="E130" i="1" s="1"/>
  <c r="D111" i="1"/>
  <c r="D130" i="1" s="1"/>
  <c r="C111" i="1"/>
  <c r="C130" i="1" s="1"/>
  <c r="B111" i="1"/>
  <c r="B130" i="1" s="1"/>
  <c r="I110" i="1"/>
  <c r="I122" i="1" s="1"/>
  <c r="H110" i="1"/>
  <c r="H122" i="1" s="1"/>
  <c r="G110" i="1"/>
  <c r="G122" i="1" s="1"/>
  <c r="F110" i="1"/>
  <c r="F122" i="1" s="1"/>
  <c r="E110" i="1"/>
  <c r="E122" i="1" s="1"/>
  <c r="D110" i="1"/>
  <c r="D122" i="1" s="1"/>
  <c r="C110" i="1"/>
  <c r="C122" i="1" s="1"/>
  <c r="B110" i="1"/>
  <c r="B122" i="1" s="1"/>
  <c r="I97" i="1"/>
  <c r="I129" i="1" s="1"/>
  <c r="H97" i="1"/>
  <c r="H129" i="1" s="1"/>
  <c r="G97" i="1"/>
  <c r="G129" i="1" s="1"/>
  <c r="F97" i="1"/>
  <c r="F129" i="1" s="1"/>
  <c r="E97" i="1"/>
  <c r="E129" i="1" s="1"/>
  <c r="D97" i="1"/>
  <c r="D129" i="1" s="1"/>
  <c r="C97" i="1"/>
  <c r="C129" i="1" s="1"/>
  <c r="B97" i="1"/>
  <c r="B129" i="1" s="1"/>
  <c r="I96" i="1"/>
  <c r="I121" i="1" s="1"/>
  <c r="H96" i="1"/>
  <c r="H121" i="1" s="1"/>
  <c r="G96" i="1"/>
  <c r="G121" i="1" s="1"/>
  <c r="F96" i="1"/>
  <c r="F121" i="1" s="1"/>
  <c r="E96" i="1"/>
  <c r="E121" i="1" s="1"/>
  <c r="D96" i="1"/>
  <c r="D121" i="1" s="1"/>
  <c r="C96" i="1"/>
  <c r="C121" i="1" s="1"/>
  <c r="B96" i="1"/>
  <c r="B121" i="1" s="1"/>
  <c r="I84" i="1"/>
  <c r="I128" i="1" s="1"/>
  <c r="H84" i="1"/>
  <c r="H128" i="1" s="1"/>
  <c r="G84" i="1"/>
  <c r="G128" i="1" s="1"/>
  <c r="F84" i="1"/>
  <c r="F128" i="1" s="1"/>
  <c r="E84" i="1"/>
  <c r="E128" i="1" s="1"/>
  <c r="D84" i="1"/>
  <c r="D128" i="1" s="1"/>
  <c r="C84" i="1"/>
  <c r="C128" i="1" s="1"/>
  <c r="B84" i="1"/>
  <c r="B128" i="1" s="1"/>
  <c r="I83" i="1"/>
  <c r="I120" i="1" s="1"/>
  <c r="H83" i="1"/>
  <c r="H120" i="1" s="1"/>
  <c r="G83" i="1"/>
  <c r="G120" i="1" s="1"/>
  <c r="F83" i="1"/>
  <c r="F120" i="1" s="1"/>
  <c r="E83" i="1"/>
  <c r="E120" i="1" s="1"/>
  <c r="D83" i="1"/>
  <c r="D120" i="1" s="1"/>
  <c r="C83" i="1"/>
  <c r="C120" i="1" s="1"/>
  <c r="B83" i="1"/>
  <c r="B120" i="1" s="1"/>
  <c r="N52" i="1"/>
  <c r="N53" i="1"/>
  <c r="N51" i="1"/>
  <c r="I34" i="1"/>
  <c r="I66" i="1" s="1"/>
  <c r="H34" i="1"/>
  <c r="H66" i="1" s="1"/>
  <c r="G34" i="1"/>
  <c r="G66" i="1" s="1"/>
  <c r="F34" i="1"/>
  <c r="F66" i="1" s="1"/>
  <c r="E34" i="1"/>
  <c r="E66" i="1" s="1"/>
  <c r="D34" i="1"/>
  <c r="D66" i="1" s="1"/>
  <c r="C34" i="1"/>
  <c r="C66" i="1" s="1"/>
  <c r="B34" i="1"/>
  <c r="B66" i="1" s="1"/>
  <c r="I33" i="1"/>
  <c r="I58" i="1" s="1"/>
  <c r="H33" i="1"/>
  <c r="H58" i="1" s="1"/>
  <c r="G33" i="1"/>
  <c r="G58" i="1" s="1"/>
  <c r="F33" i="1"/>
  <c r="F58" i="1" s="1"/>
  <c r="E33" i="1"/>
  <c r="E58" i="1" s="1"/>
  <c r="D33" i="1"/>
  <c r="D58" i="1" s="1"/>
  <c r="C33" i="1"/>
  <c r="C58" i="1" s="1"/>
  <c r="B33" i="1"/>
  <c r="B58" i="1" s="1"/>
  <c r="O50" i="1"/>
  <c r="C47" i="1"/>
  <c r="C59" i="1" s="1"/>
  <c r="I48" i="1"/>
  <c r="I67" i="1" s="1"/>
  <c r="H48" i="1"/>
  <c r="H67" i="1" s="1"/>
  <c r="G48" i="1"/>
  <c r="G67" i="1" s="1"/>
  <c r="F48" i="1"/>
  <c r="F67" i="1" s="1"/>
  <c r="E48" i="1"/>
  <c r="E67" i="1" s="1"/>
  <c r="D48" i="1"/>
  <c r="D67" i="1" s="1"/>
  <c r="C48" i="1"/>
  <c r="C67" i="1" s="1"/>
  <c r="B48" i="1"/>
  <c r="B67" i="1" s="1"/>
  <c r="I47" i="1"/>
  <c r="I59" i="1" s="1"/>
  <c r="H47" i="1"/>
  <c r="H59" i="1" s="1"/>
  <c r="G47" i="1"/>
  <c r="G59" i="1" s="1"/>
  <c r="F47" i="1"/>
  <c r="F59" i="1" s="1"/>
  <c r="E47" i="1"/>
  <c r="E59" i="1" s="1"/>
  <c r="D47" i="1"/>
  <c r="D59" i="1" s="1"/>
  <c r="B47" i="1"/>
  <c r="B59" i="1" s="1"/>
  <c r="G57" i="1"/>
  <c r="B7" i="1"/>
  <c r="B57" i="1"/>
  <c r="C7" i="1"/>
  <c r="I65" i="1"/>
  <c r="H65" i="1"/>
  <c r="G21" i="1"/>
  <c r="G65" i="1" s="1"/>
  <c r="F65" i="1"/>
  <c r="E65" i="1"/>
  <c r="D65" i="1"/>
  <c r="C65" i="1"/>
  <c r="B65" i="1"/>
  <c r="I57" i="1"/>
  <c r="E57" i="1"/>
  <c r="D57" i="1"/>
  <c r="C57" i="1"/>
  <c r="I7" i="1"/>
  <c r="H7" i="1"/>
  <c r="G7" i="1"/>
  <c r="F7" i="1"/>
  <c r="E7" i="1"/>
  <c r="D7" i="1"/>
  <c r="K185" i="1" l="1"/>
  <c r="K184" i="1"/>
  <c r="K192" i="1"/>
  <c r="J192" i="1"/>
  <c r="J184" i="1"/>
  <c r="J183" i="1"/>
  <c r="K183" i="1"/>
  <c r="J191" i="1"/>
  <c r="K191" i="1"/>
  <c r="J193" i="1"/>
  <c r="K193" i="1"/>
  <c r="J185" i="1"/>
  <c r="J122" i="1"/>
  <c r="K122" i="1"/>
  <c r="K121" i="1"/>
  <c r="J129" i="1"/>
  <c r="K129" i="1"/>
  <c r="J121" i="1"/>
  <c r="J120" i="1"/>
  <c r="K120" i="1"/>
  <c r="J128" i="1"/>
  <c r="K128" i="1"/>
  <c r="J130" i="1"/>
  <c r="K130" i="1"/>
  <c r="K57" i="1"/>
  <c r="F57" i="1"/>
  <c r="H57" i="1"/>
  <c r="K58" i="1"/>
  <c r="K59" i="1"/>
  <c r="K67" i="1"/>
  <c r="J59" i="1"/>
  <c r="O53" i="1" s="1"/>
  <c r="J67" i="1"/>
  <c r="K65" i="1"/>
  <c r="J65" i="1"/>
  <c r="J66" i="1"/>
  <c r="K66" i="1"/>
  <c r="J57" i="1" l="1"/>
  <c r="O51" i="1" s="1"/>
  <c r="J58" i="1"/>
  <c r="O52" i="1" s="1"/>
</calcChain>
</file>

<file path=xl/sharedStrings.xml><?xml version="1.0" encoding="utf-8"?>
<sst xmlns="http://schemas.openxmlformats.org/spreadsheetml/2006/main" count="401" uniqueCount="39">
  <si>
    <t>FORD01</t>
  </si>
  <si>
    <t>FORD02</t>
  </si>
  <si>
    <t>FORD03</t>
  </si>
  <si>
    <t>FORD04</t>
  </si>
  <si>
    <t>GREEDY</t>
  </si>
  <si>
    <t>Tamaño</t>
  </si>
  <si>
    <t>Minimo global</t>
  </si>
  <si>
    <t>Sol</t>
  </si>
  <si>
    <t>Time</t>
  </si>
  <si>
    <t>Ejecución</t>
  </si>
  <si>
    <t>Media</t>
  </si>
  <si>
    <t>Ejecución 1</t>
  </si>
  <si>
    <t>Ejecución 2</t>
  </si>
  <si>
    <t>Ejecución 3</t>
  </si>
  <si>
    <t>Ejecución 4</t>
  </si>
  <si>
    <t>Ejecución 5</t>
  </si>
  <si>
    <t>Desv. típica</t>
  </si>
  <si>
    <t>MEDIA</t>
  </si>
  <si>
    <t>Desv</t>
  </si>
  <si>
    <t>.</t>
  </si>
  <si>
    <t>Cruce=OX2, E=1, kBest=2, kWorst=3</t>
  </si>
  <si>
    <t>Cruce=OX2, E=1, kBest=3, kWorst=3</t>
  </si>
  <si>
    <t>Cruce=OX2, E=2, kBest=2, kWorst=3</t>
  </si>
  <si>
    <t>MGen: Cruce=OX2, M=100, E=1, kBest=2, kWorst=3, evaluaciones: 1000, iteraciones: 10</t>
  </si>
  <si>
    <t>MEMÉTICO</t>
  </si>
  <si>
    <t>MGen: Cruce=OX2, M=100, E=1, kBest=2, kWorst=3, evaluaciones: 1000, iteraciones: 50</t>
  </si>
  <si>
    <t>MGen: Cruce=OX2, M=100, E=1, kBest=2, kWorst=3, evaluaciones: 1000, iteraciones: 100</t>
  </si>
  <si>
    <t>EVALUACIONES 2000</t>
  </si>
  <si>
    <t>EVALUACIONES 1000</t>
  </si>
  <si>
    <t>MGen: Cruce=OX2, M=100, E=1, kBest=2, kWorst=3, evaluaciones: 2000, iteraciones: 10</t>
  </si>
  <si>
    <t>MGen: Cruce=OX2, M=100, E=1, kBest=2, kWorst=3, evaluaciones: 2000, iteraciones: 50</t>
  </si>
  <si>
    <t>MGen: Cruce=OX2, M=100, E=1, kBest=2, kWorst=3, evaluaciones: 2000, iteraciones: 100</t>
  </si>
  <si>
    <t>EVALUACIONES_TABU = 2000</t>
  </si>
  <si>
    <t>EVALUACIONES_TABU = 1000</t>
  </si>
  <si>
    <t>EVALUACIONES 5000</t>
  </si>
  <si>
    <t>EVALUACIONES_TABU = 5000</t>
  </si>
  <si>
    <t>MGen: Cruce=OX2, M=100, E=1, kBest=2, kWorst=3, evaluaciones: 5000, iteraciones: 10</t>
  </si>
  <si>
    <t>MGen: Cruce=OX2, M=100, E=1, kBest=2, kWorst=3, evaluaciones: 5000, iteraciones: 50</t>
  </si>
  <si>
    <t>MGen: Cruce=OX2, M=100, E=1, kBest=2, kWorst=3, evaluaciones: 5000, iteraciones: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</si>
</sst>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2"/>
      <color rgb="FF000000"/>
      <name val="Times New Roman"/>
      <family val="1"/>
    </font>
    <font>
      <b/>
      <sz val="20"/>
      <color rgb="FF980000"/>
      <name val="Calibri"/>
      <family val="2"/>
      <scheme val="minor"/>
    </font>
    <font>
      <b/>
      <sz val="12"/>
      <color rgb="FF000000"/>
      <name val="Times New Roman"/>
      <family val="1"/>
    </font>
    <font>
      <sz val="18"/>
      <color rgb="FF000000"/>
      <name val="Calibri"/>
      <family val="2"/>
    </font>
    <font>
      <u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theme="0"/>
        <bgColor rgb="FFFFFF00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5" fillId="3" borderId="3" xfId="0" applyFont="1" applyFill="1" applyBorder="1"/>
    <xf numFmtId="0" fontId="1" fillId="3" borderId="3" xfId="0" applyFont="1" applyFill="1" applyBorder="1" applyAlignment="1">
      <alignment horizontal="right"/>
    </xf>
    <xf numFmtId="0" fontId="6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2" fontId="8" fillId="0" borderId="12" xfId="0" applyNumberFormat="1" applyFont="1" applyBorder="1" applyAlignment="1">
      <alignment horizontal="center" vertical="top" wrapText="1"/>
    </xf>
    <xf numFmtId="2" fontId="8" fillId="0" borderId="13" xfId="0" applyNumberFormat="1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10" fontId="10" fillId="0" borderId="15" xfId="0" applyNumberFormat="1" applyFont="1" applyBorder="1" applyAlignment="1">
      <alignment horizontal="center" vertical="top" wrapText="1"/>
    </xf>
    <xf numFmtId="2" fontId="10" fillId="0" borderId="15" xfId="0" applyNumberFormat="1" applyFont="1" applyBorder="1" applyAlignment="1">
      <alignment horizontal="center" vertical="top" wrapText="1"/>
    </xf>
    <xf numFmtId="0" fontId="12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right" vertical="center"/>
    </xf>
    <xf numFmtId="0" fontId="12" fillId="3" borderId="18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2" fontId="10" fillId="4" borderId="26" xfId="0" applyNumberFormat="1" applyFont="1" applyFill="1" applyBorder="1" applyAlignment="1">
      <alignment horizontal="center" vertical="top" wrapText="1"/>
    </xf>
    <xf numFmtId="2" fontId="10" fillId="4" borderId="27" xfId="0" applyNumberFormat="1" applyFont="1" applyFill="1" applyBorder="1" applyAlignment="1">
      <alignment horizontal="center" vertical="top" wrapText="1"/>
    </xf>
    <xf numFmtId="2" fontId="10" fillId="4" borderId="28" xfId="0" applyNumberFormat="1" applyFont="1" applyFill="1" applyBorder="1" applyAlignment="1">
      <alignment horizontal="center" vertical="top" wrapText="1"/>
    </xf>
    <xf numFmtId="2" fontId="10" fillId="4" borderId="29" xfId="0" applyNumberFormat="1" applyFont="1" applyFill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 vertical="top" wrapText="1"/>
    </xf>
    <xf numFmtId="2" fontId="10" fillId="4" borderId="32" xfId="0" applyNumberFormat="1" applyFont="1" applyFill="1" applyBorder="1" applyAlignment="1">
      <alignment horizontal="center" vertical="top" wrapText="1"/>
    </xf>
    <xf numFmtId="2" fontId="10" fillId="4" borderId="33" xfId="0" applyNumberFormat="1" applyFont="1" applyFill="1" applyBorder="1" applyAlignment="1">
      <alignment horizontal="center" vertical="top" wrapText="1"/>
    </xf>
    <xf numFmtId="2" fontId="10" fillId="4" borderId="34" xfId="0" applyNumberFormat="1" applyFont="1" applyFill="1" applyBorder="1" applyAlignment="1">
      <alignment horizontal="center" vertical="top" wrapText="1"/>
    </xf>
    <xf numFmtId="2" fontId="10" fillId="4" borderId="35" xfId="0" applyNumberFormat="1" applyFont="1" applyFill="1" applyBorder="1" applyAlignment="1">
      <alignment horizontal="center" vertical="top" wrapText="1"/>
    </xf>
    <xf numFmtId="2" fontId="10" fillId="0" borderId="36" xfId="0" applyNumberFormat="1" applyFont="1" applyBorder="1" applyAlignment="1">
      <alignment horizontal="center" vertical="top" wrapText="1"/>
    </xf>
    <xf numFmtId="0" fontId="15" fillId="0" borderId="0" xfId="0" applyFont="1"/>
    <xf numFmtId="0" fontId="14" fillId="5" borderId="41" xfId="0" applyFont="1" applyFill="1" applyBorder="1" applyAlignment="1">
      <alignment horizontal="center" vertical="top" wrapText="1"/>
    </xf>
    <xf numFmtId="0" fontId="9" fillId="5" borderId="42" xfId="0" applyFont="1" applyFill="1" applyBorder="1" applyAlignment="1">
      <alignment horizontal="center" vertical="top" wrapText="1"/>
    </xf>
    <xf numFmtId="2" fontId="10" fillId="5" borderId="43" xfId="0" applyNumberFormat="1" applyFont="1" applyFill="1" applyBorder="1" applyAlignment="1">
      <alignment horizontal="center" vertical="top" wrapText="1"/>
    </xf>
    <xf numFmtId="2" fontId="10" fillId="5" borderId="44" xfId="0" applyNumberFormat="1" applyFont="1" applyFill="1" applyBorder="1" applyAlignment="1">
      <alignment horizontal="center" vertical="top" wrapText="1"/>
    </xf>
    <xf numFmtId="2" fontId="10" fillId="0" borderId="45" xfId="0" applyNumberFormat="1" applyFont="1" applyBorder="1" applyAlignment="1">
      <alignment horizontal="center" vertical="top" wrapText="1"/>
    </xf>
    <xf numFmtId="1" fontId="8" fillId="0" borderId="12" xfId="0" applyNumberFormat="1" applyFont="1" applyBorder="1" applyAlignment="1">
      <alignment horizontal="center" vertical="top" wrapText="1"/>
    </xf>
    <xf numFmtId="0" fontId="9" fillId="0" borderId="35" xfId="0" applyFont="1" applyBorder="1" applyAlignment="1">
      <alignment horizontal="center" vertical="top" wrapText="1"/>
    </xf>
    <xf numFmtId="2" fontId="10" fillId="0" borderId="35" xfId="0" applyNumberFormat="1" applyFont="1" applyBorder="1" applyAlignment="1">
      <alignment horizontal="center" vertical="top" wrapText="1"/>
    </xf>
    <xf numFmtId="0" fontId="16" fillId="0" borderId="25" xfId="0" applyFont="1" applyBorder="1" applyAlignment="1">
      <alignment horizontal="center" vertical="top" wrapText="1"/>
    </xf>
    <xf numFmtId="0" fontId="18" fillId="0" borderId="1" xfId="0" applyFont="1" applyBorder="1"/>
    <xf numFmtId="10" fontId="0" fillId="0" borderId="0" xfId="0" applyNumberFormat="1"/>
    <xf numFmtId="10" fontId="10" fillId="0" borderId="36" xfId="0" applyNumberFormat="1" applyFont="1" applyBorder="1" applyAlignment="1">
      <alignment horizontal="center" vertical="top" wrapText="1"/>
    </xf>
    <xf numFmtId="10" fontId="10" fillId="0" borderId="45" xfId="0" applyNumberFormat="1" applyFont="1" applyBorder="1" applyAlignment="1">
      <alignment horizontal="center" vertical="top" wrapText="1"/>
    </xf>
    <xf numFmtId="10" fontId="10" fillId="5" borderId="43" xfId="0" applyNumberFormat="1" applyFont="1" applyFill="1" applyBorder="1" applyAlignment="1">
      <alignment horizontal="center" vertical="top" wrapText="1"/>
    </xf>
    <xf numFmtId="0" fontId="1" fillId="0" borderId="35" xfId="0" applyFont="1" applyBorder="1"/>
    <xf numFmtId="0" fontId="19" fillId="0" borderId="0" xfId="0" applyFont="1" applyAlignment="1">
      <alignment wrapText="1"/>
    </xf>
    <xf numFmtId="2" fontId="10" fillId="6" borderId="35" xfId="0" applyNumberFormat="1" applyFont="1" applyFill="1" applyBorder="1" applyAlignment="1">
      <alignment horizontal="center" vertical="top" wrapText="1"/>
    </xf>
    <xf numFmtId="10" fontId="10" fillId="0" borderId="28" xfId="0" applyNumberFormat="1" applyFont="1" applyBorder="1" applyAlignment="1">
      <alignment horizontal="center" vertical="top" wrapText="1"/>
    </xf>
    <xf numFmtId="10" fontId="10" fillId="0" borderId="46" xfId="0" applyNumberFormat="1" applyFont="1" applyBorder="1" applyAlignment="1">
      <alignment horizontal="center" vertical="top" wrapText="1"/>
    </xf>
    <xf numFmtId="2" fontId="10" fillId="0" borderId="28" xfId="0" applyNumberFormat="1" applyFont="1" applyBorder="1" applyAlignment="1">
      <alignment horizontal="center" vertical="top" wrapText="1"/>
    </xf>
    <xf numFmtId="2" fontId="10" fillId="0" borderId="46" xfId="0" applyNumberFormat="1" applyFont="1" applyBorder="1" applyAlignment="1">
      <alignment horizontal="center" vertical="top" wrapText="1"/>
    </xf>
    <xf numFmtId="0" fontId="19" fillId="0" borderId="47" xfId="0" applyFont="1" applyBorder="1" applyAlignment="1">
      <alignment wrapText="1"/>
    </xf>
    <xf numFmtId="0" fontId="19" fillId="0" borderId="48" xfId="0" applyFont="1" applyBorder="1" applyAlignment="1">
      <alignment wrapText="1"/>
    </xf>
    <xf numFmtId="2" fontId="0" fillId="0" borderId="0" xfId="0" applyNumberFormat="1"/>
    <xf numFmtId="0" fontId="9" fillId="5" borderId="37" xfId="0" applyFont="1" applyFill="1" applyBorder="1" applyAlignment="1">
      <alignment horizontal="center" vertical="top" wrapText="1"/>
    </xf>
    <xf numFmtId="0" fontId="3" fillId="0" borderId="40" xfId="0" applyFont="1" applyBorder="1"/>
    <xf numFmtId="0" fontId="9" fillId="0" borderId="5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11" fillId="0" borderId="0" xfId="0" applyFont="1"/>
    <xf numFmtId="0" fontId="0" fillId="0" borderId="0" xfId="0"/>
    <xf numFmtId="0" fontId="17" fillId="2" borderId="16" xfId="0" applyFont="1" applyFill="1" applyBorder="1" applyAlignment="1">
      <alignment horizontal="center" vertical="center" wrapText="1"/>
    </xf>
    <xf numFmtId="0" fontId="20" fillId="0" borderId="2" xfId="0" applyFont="1" applyBorder="1"/>
    <xf numFmtId="0" fontId="20" fillId="0" borderId="8" xfId="0" applyFont="1" applyBorder="1"/>
    <xf numFmtId="0" fontId="12" fillId="3" borderId="19" xfId="0" applyFont="1" applyFill="1" applyBorder="1" applyAlignment="1">
      <alignment horizontal="left" vertical="center" wrapText="1"/>
    </xf>
    <xf numFmtId="0" fontId="3" fillId="0" borderId="21" xfId="0" applyFont="1" applyBorder="1"/>
    <xf numFmtId="0" fontId="13" fillId="3" borderId="20" xfId="0" applyFont="1" applyFill="1" applyBorder="1" applyAlignment="1">
      <alignment horizontal="right" vertical="center"/>
    </xf>
    <xf numFmtId="0" fontId="3" fillId="0" borderId="22" xfId="0" applyFont="1" applyBorder="1"/>
    <xf numFmtId="0" fontId="4" fillId="2" borderId="2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8" xfId="0" applyFont="1" applyBorder="1"/>
    <xf numFmtId="0" fontId="5" fillId="3" borderId="4" xfId="0" applyFont="1" applyFill="1" applyBorder="1" applyAlignment="1">
      <alignment wrapText="1"/>
    </xf>
    <xf numFmtId="0" fontId="3" fillId="0" borderId="6" xfId="0" applyFont="1" applyBorder="1"/>
    <xf numFmtId="0" fontId="1" fillId="3" borderId="5" xfId="0" applyFont="1" applyFill="1" applyBorder="1" applyAlignment="1">
      <alignment horizontal="right"/>
    </xf>
    <xf numFmtId="0" fontId="3" fillId="0" borderId="7" xfId="0" applyFont="1" applyBorder="1"/>
    <xf numFmtId="0" fontId="2" fillId="0" borderId="1" xfId="0" applyFont="1" applyBorder="1"/>
    <xf numFmtId="0" fontId="3" fillId="0" borderId="1" xfId="0" applyFont="1" applyBorder="1"/>
    <xf numFmtId="0" fontId="1" fillId="3" borderId="4" xfId="0" applyFont="1" applyFill="1" applyBorder="1" applyAlignment="1">
      <alignment horizontal="right"/>
    </xf>
    <xf numFmtId="0" fontId="19" fillId="0" borderId="35" xfId="0" applyFont="1" applyFill="1" applyBorder="1" applyAlignment="1">
      <alignment wrapText="1"/>
    </xf>
    <xf numFmtId="0" fontId="5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4926F7-2A8B-420A-9355-DD52CBDADD69}">
  <we:reference id="wa200003987" version="1.0.0.5" store="es-E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5"/>
  <sheetViews>
    <sheetView tabSelected="1" topLeftCell="A144" workbookViewId="0">
      <selection activeCell="H170" sqref="H170"/>
    </sheetView>
  </sheetViews>
  <sheetFormatPr baseColWidth="10" defaultColWidth="14.42578125" defaultRowHeight="15" customHeight="1" x14ac:dyDescent="0.25"/>
  <cols>
    <col min="1" max="1" width="34" customWidth="1"/>
    <col min="2" max="2" width="12.42578125" customWidth="1"/>
    <col min="3" max="3" width="9.85546875" customWidth="1"/>
    <col min="4" max="4" width="12.42578125" customWidth="1"/>
    <col min="5" max="5" width="9.42578125" customWidth="1"/>
    <col min="6" max="6" width="12.42578125" customWidth="1"/>
    <col min="7" max="7" width="9.42578125" customWidth="1"/>
    <col min="8" max="8" width="12.42578125" customWidth="1"/>
    <col min="9" max="9" width="13.28515625" customWidth="1"/>
    <col min="10" max="26" width="10.42578125" customWidth="1"/>
  </cols>
  <sheetData>
    <row r="1" spans="1:26" ht="23.25" x14ac:dyDescent="0.35">
      <c r="A1" s="40"/>
      <c r="B1" s="78" t="s">
        <v>0</v>
      </c>
      <c r="C1" s="79"/>
      <c r="D1" s="78" t="s">
        <v>1</v>
      </c>
      <c r="E1" s="79"/>
      <c r="F1" s="78" t="s">
        <v>2</v>
      </c>
      <c r="G1" s="79"/>
      <c r="H1" s="78" t="s">
        <v>3</v>
      </c>
      <c r="I1" s="7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71" t="s">
        <v>4</v>
      </c>
      <c r="B2" s="2" t="s">
        <v>5</v>
      </c>
      <c r="C2" s="3">
        <v>20</v>
      </c>
      <c r="D2" s="2" t="s">
        <v>5</v>
      </c>
      <c r="E2" s="3">
        <v>20</v>
      </c>
      <c r="F2" s="2" t="s">
        <v>5</v>
      </c>
      <c r="G2" s="3">
        <v>30</v>
      </c>
      <c r="H2" s="2" t="s">
        <v>5</v>
      </c>
      <c r="I2" s="3">
        <v>30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72"/>
      <c r="B3" s="74" t="s">
        <v>6</v>
      </c>
      <c r="C3" s="76">
        <v>3542</v>
      </c>
      <c r="D3" s="74" t="s">
        <v>6</v>
      </c>
      <c r="E3" s="76">
        <v>26876</v>
      </c>
      <c r="F3" s="74" t="s">
        <v>6</v>
      </c>
      <c r="G3" s="76">
        <v>13292</v>
      </c>
      <c r="H3" s="74" t="s">
        <v>6</v>
      </c>
      <c r="I3" s="80">
        <v>150528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72"/>
      <c r="B4" s="75"/>
      <c r="C4" s="77"/>
      <c r="D4" s="75"/>
      <c r="E4" s="77"/>
      <c r="F4" s="75"/>
      <c r="G4" s="77"/>
      <c r="H4" s="75"/>
      <c r="I4" s="7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73"/>
      <c r="B5" s="4" t="s">
        <v>7</v>
      </c>
      <c r="C5" s="5" t="s">
        <v>8</v>
      </c>
      <c r="D5" s="4" t="s">
        <v>7</v>
      </c>
      <c r="E5" s="5" t="s">
        <v>8</v>
      </c>
      <c r="F5" s="4" t="s">
        <v>7</v>
      </c>
      <c r="G5" s="5" t="s">
        <v>8</v>
      </c>
      <c r="H5" s="4" t="s">
        <v>7</v>
      </c>
      <c r="I5" s="5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6" t="s">
        <v>9</v>
      </c>
      <c r="B6" s="36">
        <v>3876</v>
      </c>
      <c r="C6" s="7">
        <v>1.25646591186523E-4</v>
      </c>
      <c r="D6" s="36">
        <v>32748</v>
      </c>
      <c r="E6" s="7">
        <v>1.15633010864257E-4</v>
      </c>
      <c r="F6" s="36">
        <v>13786</v>
      </c>
      <c r="G6" s="7">
        <v>2.41756439208984E-4</v>
      </c>
      <c r="H6" s="36">
        <v>188018</v>
      </c>
      <c r="I6" s="8">
        <v>2.33888626098632E-4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Top="1" thickBot="1" x14ac:dyDescent="0.3">
      <c r="A7" s="9" t="s">
        <v>10</v>
      </c>
      <c r="B7" s="10">
        <f>AVERAGE((B6-$C$3)/$C$3)</f>
        <v>9.42970073404856E-2</v>
      </c>
      <c r="C7" s="11">
        <f>C6</f>
        <v>1.25646591186523E-4</v>
      </c>
      <c r="D7" s="10">
        <f>AVERAGE((D6-$E$3)/$E$3)</f>
        <v>0.21848489358535497</v>
      </c>
      <c r="E7" s="11">
        <f>E6</f>
        <v>1.15633010864257E-4</v>
      </c>
      <c r="F7" s="10">
        <f>AVERAGE((F6-$G$3)/$G$3)</f>
        <v>3.7165212157688837E-2</v>
      </c>
      <c r="G7" s="11">
        <f>G6</f>
        <v>2.41756439208984E-4</v>
      </c>
      <c r="H7" s="10">
        <f>AVERAGE((H6-$I$3)/$I$3)</f>
        <v>0.24905665391156462</v>
      </c>
      <c r="I7" s="11">
        <f>I6</f>
        <v>2.33888626098632E-4</v>
      </c>
    </row>
    <row r="8" spans="1:26" x14ac:dyDescent="0.25">
      <c r="A8" s="82" t="s">
        <v>28</v>
      </c>
    </row>
    <row r="9" spans="1:26" ht="15.75" x14ac:dyDescent="0.25">
      <c r="B9" s="38"/>
      <c r="C9" s="4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7.25" thickBot="1" x14ac:dyDescent="0.4">
      <c r="A10" s="46" t="s">
        <v>23</v>
      </c>
      <c r="B10" s="62" t="s">
        <v>0</v>
      </c>
      <c r="C10" s="63"/>
      <c r="D10" s="62" t="s">
        <v>1</v>
      </c>
      <c r="E10" s="63"/>
      <c r="F10" s="62" t="s">
        <v>2</v>
      </c>
      <c r="G10" s="63"/>
      <c r="H10" s="62" t="s">
        <v>3</v>
      </c>
      <c r="I10" s="63"/>
    </row>
    <row r="11" spans="1:26" ht="13.5" customHeight="1" x14ac:dyDescent="0.25">
      <c r="A11" s="64" t="s">
        <v>24</v>
      </c>
      <c r="B11" s="12" t="s">
        <v>5</v>
      </c>
      <c r="C11" s="13">
        <v>20</v>
      </c>
      <c r="D11" s="14" t="s">
        <v>5</v>
      </c>
      <c r="E11" s="13">
        <v>20</v>
      </c>
      <c r="F11" s="14" t="s">
        <v>5</v>
      </c>
      <c r="G11" s="13">
        <v>30</v>
      </c>
      <c r="H11" s="14" t="s">
        <v>5</v>
      </c>
      <c r="I11" s="13">
        <v>30</v>
      </c>
    </row>
    <row r="12" spans="1:26" ht="15" customHeight="1" x14ac:dyDescent="0.25">
      <c r="A12" s="72"/>
      <c r="B12" s="67" t="s">
        <v>6</v>
      </c>
      <c r="C12" s="69">
        <v>3542</v>
      </c>
      <c r="D12" s="67" t="s">
        <v>6</v>
      </c>
      <c r="E12" s="69">
        <v>26876</v>
      </c>
      <c r="F12" s="67" t="s">
        <v>6</v>
      </c>
      <c r="G12" s="69">
        <v>13292</v>
      </c>
      <c r="H12" s="67" t="s">
        <v>6</v>
      </c>
      <c r="I12" s="69">
        <v>150528</v>
      </c>
    </row>
    <row r="13" spans="1:26" x14ac:dyDescent="0.25">
      <c r="A13" s="72"/>
      <c r="B13" s="68"/>
      <c r="C13" s="70"/>
      <c r="D13" s="68"/>
      <c r="E13" s="70"/>
      <c r="F13" s="68"/>
      <c r="G13" s="70"/>
      <c r="H13" s="68"/>
      <c r="I13" s="70"/>
    </row>
    <row r="14" spans="1:26" ht="17.25" thickTop="1" thickBot="1" x14ac:dyDescent="0.3">
      <c r="A14" s="73"/>
      <c r="B14" s="15" t="s">
        <v>7</v>
      </c>
      <c r="C14" s="16" t="s">
        <v>8</v>
      </c>
      <c r="D14" s="15" t="s">
        <v>7</v>
      </c>
      <c r="E14" s="17" t="s">
        <v>8</v>
      </c>
      <c r="F14" s="15" t="s">
        <v>7</v>
      </c>
      <c r="G14" s="16" t="s">
        <v>8</v>
      </c>
      <c r="H14" s="15" t="s">
        <v>7</v>
      </c>
      <c r="I14" s="17" t="s">
        <v>8</v>
      </c>
    </row>
    <row r="15" spans="1:26" ht="17.25" thickTop="1" thickBot="1" x14ac:dyDescent="0.3">
      <c r="A15" s="39" t="s">
        <v>11</v>
      </c>
      <c r="B15" s="19">
        <v>3614</v>
      </c>
      <c r="C15" s="20">
        <v>4.3099999999999996</v>
      </c>
      <c r="D15" s="21">
        <v>30844</v>
      </c>
      <c r="E15" s="22">
        <v>4.42</v>
      </c>
      <c r="F15" s="19">
        <v>13348</v>
      </c>
      <c r="G15" s="20">
        <v>8.9499999999999993</v>
      </c>
      <c r="H15" s="21">
        <v>176086</v>
      </c>
      <c r="I15" s="22">
        <v>9.0399999999999991</v>
      </c>
    </row>
    <row r="16" spans="1:26" ht="16.5" thickBot="1" x14ac:dyDescent="0.3">
      <c r="A16" s="23" t="s">
        <v>12</v>
      </c>
      <c r="B16" s="19">
        <v>3626</v>
      </c>
      <c r="C16" s="20">
        <v>4.8369999999999997</v>
      </c>
      <c r="D16" s="21">
        <v>31618</v>
      </c>
      <c r="E16" s="22">
        <v>4.2300000000000004</v>
      </c>
      <c r="F16" s="19">
        <v>13344</v>
      </c>
      <c r="G16" s="20">
        <v>9.43</v>
      </c>
      <c r="H16" s="21">
        <v>173940</v>
      </c>
      <c r="I16" s="22">
        <v>9.2799999999999994</v>
      </c>
      <c r="J16" s="47"/>
    </row>
    <row r="17" spans="1:9" ht="16.5" thickBot="1" x14ac:dyDescent="0.3">
      <c r="A17" s="23" t="s">
        <v>13</v>
      </c>
      <c r="B17" s="19">
        <v>3630</v>
      </c>
      <c r="C17" s="20">
        <v>4.8600000000000003</v>
      </c>
      <c r="D17" s="21">
        <v>30956</v>
      </c>
      <c r="E17" s="22">
        <v>4.6900000000000004</v>
      </c>
      <c r="F17" s="19">
        <v>13358</v>
      </c>
      <c r="G17" s="20">
        <v>8.93</v>
      </c>
      <c r="H17" s="21">
        <v>175556</v>
      </c>
      <c r="I17" s="22">
        <v>8.77</v>
      </c>
    </row>
    <row r="18" spans="1:9" ht="16.5" thickBot="1" x14ac:dyDescent="0.3">
      <c r="A18" s="23" t="s">
        <v>14</v>
      </c>
      <c r="B18" s="19">
        <v>3636</v>
      </c>
      <c r="C18" s="20">
        <v>5.23</v>
      </c>
      <c r="D18" s="21">
        <v>30878</v>
      </c>
      <c r="E18" s="22">
        <v>4.4800000000000004</v>
      </c>
      <c r="F18" s="19">
        <v>13314</v>
      </c>
      <c r="G18" s="20">
        <v>9.0850000000000009</v>
      </c>
      <c r="H18" s="21">
        <v>150528</v>
      </c>
      <c r="I18" s="22">
        <v>9.0299999999999994</v>
      </c>
    </row>
    <row r="19" spans="1:9" ht="16.5" thickBot="1" x14ac:dyDescent="0.3">
      <c r="A19" s="24" t="s">
        <v>15</v>
      </c>
      <c r="B19" s="25">
        <v>3622</v>
      </c>
      <c r="C19" s="26">
        <v>4.99</v>
      </c>
      <c r="D19" s="27">
        <v>30586</v>
      </c>
      <c r="E19" s="28">
        <v>4.6100000000000003</v>
      </c>
      <c r="F19" s="25">
        <v>13382</v>
      </c>
      <c r="G19" s="26">
        <v>9.76</v>
      </c>
      <c r="H19" s="27">
        <v>178128</v>
      </c>
      <c r="I19" s="28">
        <v>9.15</v>
      </c>
    </row>
    <row r="20" spans="1:9" ht="17.25" thickTop="1" thickBot="1" x14ac:dyDescent="0.3">
      <c r="A20" s="9" t="s">
        <v>10</v>
      </c>
      <c r="B20" s="10">
        <f>AVERAGE((B15-$C$12)/$C$12,(B16-$C$12)/$C$12,(B17-$C$12)/$C$12,(B18-$C$12)/$C$12,(B19-$C$12)/$C$12)</f>
        <v>2.3602484472049691E-2</v>
      </c>
      <c r="C20" s="11">
        <f>AVERAGE(C15:C19)</f>
        <v>4.8453999999999997</v>
      </c>
      <c r="D20" s="10">
        <f>AVERAGE((D15-$E$12)/$E$12,(D16-$E$12)/$E$12,(D17-$E$12)/$E$12,(D18-$E$12)/$E$12,(D19-$E$12)/$E$12)</f>
        <v>0.15256734633129929</v>
      </c>
      <c r="E20" s="11">
        <f>AVERAGE(E15:E19)</f>
        <v>4.4859999999999998</v>
      </c>
      <c r="F20" s="10">
        <f>AVERAGE((F15-$G$12)/$G$12,(F16-$G$12)/$G$12,(F17-$G$12)/$G$12,(F18-$G$12)/$G$12,(F19-$G$12)/$G$12)</f>
        <v>4.3033403551008126E-3</v>
      </c>
      <c r="G20" s="11">
        <f>AVERAGE(G15:G19)</f>
        <v>9.2309999999999981</v>
      </c>
      <c r="H20" s="10">
        <f>AVERAGE((H15-$I$12)/$I$12,(H16-$I$12)/$I$12,(H17-$I$12)/$I$12,(H18-$I$12)/$I$12,(H19-$I$12)/$I$12)</f>
        <v>0.13498883928571428</v>
      </c>
      <c r="I20" s="11">
        <f>AVERAGE(I15:I19)</f>
        <v>9.0539999999999985</v>
      </c>
    </row>
    <row r="21" spans="1:9" ht="16.5" thickBot="1" x14ac:dyDescent="0.3">
      <c r="A21" s="23" t="s">
        <v>16</v>
      </c>
      <c r="B21" s="29">
        <f>STDEV((B15-$C$12)/$C$12,(B16-$C$12)/$C$12,(B17-$C$12)/$C$12,(B18-$C$12)/$C$12,(B19-$C$12)/$C$12)</f>
        <v>2.3417776796530463E-3</v>
      </c>
      <c r="C21" s="29">
        <f>STDEV(C15:C19)</f>
        <v>0.33755118130440637</v>
      </c>
      <c r="D21" s="29">
        <f>STDEV((D15-$E$12)/$E$12,(D16-$E$12)/$E$12,(D17-$E$12)/$E$12,(D18-$E$12)/$E$12,(D19-$E$12)/$E$12)</f>
        <v>1.4310438019921079E-2</v>
      </c>
      <c r="E21" s="29">
        <f>STDEV(E15:E19)</f>
        <v>0.17812916661793488</v>
      </c>
      <c r="F21" s="29">
        <f>STDEV((F15-$G$12)/$G$12,(F16-$G$12)/$G$12,(F17-$G$12)/$G$12,(F18-$G$12)/$G$12,(F19-$G$12)/$G$12)</f>
        <v>1.8507984497965638E-3</v>
      </c>
      <c r="G21" s="29">
        <f>STDEV(G15:G19)</f>
        <v>0.35718342626723315</v>
      </c>
      <c r="H21" s="29">
        <f>STDEV((H15-$I$12)/$I$12,(H16-$I$12)/$I$12,(H17-$I$12)/$I$12,(H18-$I$12)/$I$12,(H19-$I$12)/$I$12)</f>
        <v>7.6112938928016141E-2</v>
      </c>
      <c r="I21" s="29">
        <f>STDEV(I15:I19)</f>
        <v>0.18822858443923979</v>
      </c>
    </row>
    <row r="22" spans="1:9" ht="15.75" x14ac:dyDescent="0.25">
      <c r="B22" s="38"/>
      <c r="C22" s="38"/>
      <c r="D22" s="38"/>
      <c r="E22" s="38"/>
      <c r="F22" s="38"/>
      <c r="G22" s="38"/>
      <c r="H22" s="38"/>
      <c r="I22" s="38"/>
    </row>
    <row r="23" spans="1:9" ht="47.25" thickBot="1" x14ac:dyDescent="0.4">
      <c r="A23" s="46" t="s">
        <v>25</v>
      </c>
      <c r="B23" s="62" t="s">
        <v>0</v>
      </c>
      <c r="C23" s="63"/>
      <c r="D23" s="62" t="s">
        <v>1</v>
      </c>
      <c r="E23" s="63"/>
      <c r="F23" s="62" t="s">
        <v>2</v>
      </c>
      <c r="G23" s="63"/>
      <c r="H23" s="62" t="s">
        <v>3</v>
      </c>
      <c r="I23" s="63"/>
    </row>
    <row r="24" spans="1:9" ht="15" customHeight="1" x14ac:dyDescent="0.25">
      <c r="A24" s="64" t="s">
        <v>24</v>
      </c>
      <c r="B24" s="12" t="s">
        <v>5</v>
      </c>
      <c r="C24" s="13">
        <v>20</v>
      </c>
      <c r="D24" s="14" t="s">
        <v>5</v>
      </c>
      <c r="E24" s="13">
        <v>20</v>
      </c>
      <c r="F24" s="14" t="s">
        <v>5</v>
      </c>
      <c r="G24" s="13">
        <v>30</v>
      </c>
      <c r="H24" s="14" t="s">
        <v>5</v>
      </c>
      <c r="I24" s="13">
        <v>30</v>
      </c>
    </row>
    <row r="25" spans="1:9" ht="15" customHeight="1" x14ac:dyDescent="0.25">
      <c r="A25" s="72"/>
      <c r="B25" s="67" t="s">
        <v>6</v>
      </c>
      <c r="C25" s="69">
        <v>3542</v>
      </c>
      <c r="D25" s="67" t="s">
        <v>6</v>
      </c>
      <c r="E25" s="69">
        <v>26876</v>
      </c>
      <c r="F25" s="67" t="s">
        <v>6</v>
      </c>
      <c r="G25" s="69">
        <v>13292</v>
      </c>
      <c r="H25" s="67" t="s">
        <v>6</v>
      </c>
      <c r="I25" s="69">
        <v>150528</v>
      </c>
    </row>
    <row r="26" spans="1:9" ht="15.75" thickBot="1" x14ac:dyDescent="0.3">
      <c r="A26" s="72"/>
      <c r="B26" s="68"/>
      <c r="C26" s="70"/>
      <c r="D26" s="68"/>
      <c r="E26" s="70"/>
      <c r="F26" s="68"/>
      <c r="G26" s="70"/>
      <c r="H26" s="68"/>
      <c r="I26" s="70"/>
    </row>
    <row r="27" spans="1:9" ht="17.25" thickTop="1" thickBot="1" x14ac:dyDescent="0.3">
      <c r="A27" s="73"/>
      <c r="B27" s="15" t="s">
        <v>7</v>
      </c>
      <c r="C27" s="16" t="s">
        <v>8</v>
      </c>
      <c r="D27" s="15" t="s">
        <v>7</v>
      </c>
      <c r="E27" s="17" t="s">
        <v>8</v>
      </c>
      <c r="F27" s="15" t="s">
        <v>7</v>
      </c>
      <c r="G27" s="16" t="s">
        <v>8</v>
      </c>
      <c r="H27" s="15" t="s">
        <v>7</v>
      </c>
      <c r="I27" s="17" t="s">
        <v>8</v>
      </c>
    </row>
    <row r="28" spans="1:9" ht="17.25" thickTop="1" thickBot="1" x14ac:dyDescent="0.3">
      <c r="A28" s="39" t="s">
        <v>11</v>
      </c>
      <c r="B28" s="19">
        <v>3612</v>
      </c>
      <c r="C28" s="20">
        <v>6.89</v>
      </c>
      <c r="D28" s="21">
        <v>31178</v>
      </c>
      <c r="E28" s="22">
        <v>6.87</v>
      </c>
      <c r="F28" s="19">
        <v>13362</v>
      </c>
      <c r="G28" s="20">
        <v>15.1</v>
      </c>
      <c r="H28" s="21">
        <v>175324</v>
      </c>
      <c r="I28" s="22">
        <v>13.66</v>
      </c>
    </row>
    <row r="29" spans="1:9" ht="16.5" thickBot="1" x14ac:dyDescent="0.3">
      <c r="A29" s="23" t="s">
        <v>12</v>
      </c>
      <c r="B29" s="19">
        <v>3626</v>
      </c>
      <c r="C29" s="20">
        <v>7.1</v>
      </c>
      <c r="D29" s="21">
        <v>30792</v>
      </c>
      <c r="E29" s="22">
        <v>6.62</v>
      </c>
      <c r="F29" s="19">
        <v>13368</v>
      </c>
      <c r="G29" s="20">
        <v>14.08</v>
      </c>
      <c r="H29" s="21">
        <v>176270</v>
      </c>
      <c r="I29" s="22">
        <v>12.58</v>
      </c>
    </row>
    <row r="30" spans="1:9" ht="16.5" thickBot="1" x14ac:dyDescent="0.3">
      <c r="A30" s="23" t="s">
        <v>13</v>
      </c>
      <c r="B30" s="19">
        <v>3620</v>
      </c>
      <c r="C30" s="20">
        <v>7.36</v>
      </c>
      <c r="D30" s="21">
        <v>30610</v>
      </c>
      <c r="E30" s="22">
        <v>6.62</v>
      </c>
      <c r="F30" s="19">
        <v>13358</v>
      </c>
      <c r="G30" s="20">
        <v>13.7</v>
      </c>
      <c r="H30" s="21">
        <v>175162</v>
      </c>
      <c r="I30" s="22">
        <v>14.61</v>
      </c>
    </row>
    <row r="31" spans="1:9" ht="16.5" thickBot="1" x14ac:dyDescent="0.3">
      <c r="A31" s="23" t="s">
        <v>14</v>
      </c>
      <c r="B31" s="19">
        <v>3636</v>
      </c>
      <c r="C31" s="20">
        <v>6.89</v>
      </c>
      <c r="D31" s="21">
        <v>30878</v>
      </c>
      <c r="E31" s="22">
        <v>7.16</v>
      </c>
      <c r="F31" s="19">
        <v>13370</v>
      </c>
      <c r="G31" s="20">
        <v>14.16</v>
      </c>
      <c r="H31" s="21">
        <v>175926</v>
      </c>
      <c r="I31" s="22">
        <v>12.05</v>
      </c>
    </row>
    <row r="32" spans="1:9" ht="17.25" customHeight="1" thickBot="1" x14ac:dyDescent="0.3">
      <c r="A32" s="24" t="s">
        <v>15</v>
      </c>
      <c r="B32" s="25">
        <v>3622</v>
      </c>
      <c r="C32" s="26">
        <v>9.6300000000000008</v>
      </c>
      <c r="D32" s="27">
        <v>30586</v>
      </c>
      <c r="E32" s="28">
        <v>6.89</v>
      </c>
      <c r="F32" s="25">
        <v>13360</v>
      </c>
      <c r="G32" s="26">
        <v>13.41</v>
      </c>
      <c r="H32" s="27">
        <v>175726</v>
      </c>
      <c r="I32" s="28">
        <v>13.81</v>
      </c>
    </row>
    <row r="33" spans="1:9" ht="17.25" thickTop="1" thickBot="1" x14ac:dyDescent="0.3">
      <c r="A33" s="9" t="s">
        <v>10</v>
      </c>
      <c r="B33" s="10">
        <f>AVERAGE((B28-$C$12)/$C$12,(B29-$C$12)/$C$12,(B30-$C$12)/$C$12,(B31-$C$12)/$C$12,(B32-$C$12)/$C$12)</f>
        <v>2.292490118577075E-2</v>
      </c>
      <c r="C33" s="11">
        <f>AVERAGE(C28:C32)</f>
        <v>7.5739999999999998</v>
      </c>
      <c r="D33" s="10">
        <f>AVERAGE((D28-$E$12)/$E$12,(D29-$E$12)/$E$12,(D30-$E$12)/$E$12,(D31-$E$12)/$E$12,(D32-$E$12)/$E$12)</f>
        <v>0.14633129930049116</v>
      </c>
      <c r="E33" s="11">
        <f>AVERAGE(E28:E32)</f>
        <v>6.831999999999999</v>
      </c>
      <c r="F33" s="10">
        <f>AVERAGE((F28-$G$12)/$G$12,(F29-$G$12)/$G$12,(F30-$G$12)/$G$12,(F31-$G$12)/$G$12,(F32-$G$12)/$G$12)</f>
        <v>5.386698766175143E-3</v>
      </c>
      <c r="G33" s="11">
        <f>AVERAGE(G28:G32)</f>
        <v>14.089999999999998</v>
      </c>
      <c r="H33" s="10">
        <f>AVERAGE((H28-$I$12)/$I$12,(H29-$I$12)/$I$12,(H30-$I$12)/$I$12,(H31-$I$12)/$I$12,(H32-$I$12)/$I$12)</f>
        <v>0.16710246598639455</v>
      </c>
      <c r="I33" s="11">
        <f>AVERAGE(I28:I32)</f>
        <v>13.342000000000002</v>
      </c>
    </row>
    <row r="34" spans="1:9" ht="17.25" customHeight="1" thickBot="1" x14ac:dyDescent="0.3">
      <c r="A34" s="23" t="s">
        <v>16</v>
      </c>
      <c r="B34" s="29">
        <f>STDEV((B28-$C$12)/$C$12,(B29-$C$12)/$C$12,(B30-$C$12)/$C$12,(B31-$C$12)/$C$12,(B32-$C$12)/$C$12)</f>
        <v>2.4806191571415917E-3</v>
      </c>
      <c r="C34" s="29">
        <f>STDEV(C28:C32)</f>
        <v>1.1654741524375491</v>
      </c>
      <c r="D34" s="29">
        <f>STDEV((D28-$E$12)/$E$12,(D29-$E$12)/$E$12,(D30-$E$12)/$E$12,(D31-$E$12)/$E$12,(D32-$E$12)/$E$12)</f>
        <v>8.9326284466829716E-3</v>
      </c>
      <c r="E34" s="29">
        <f>STDEV(E28:E32)</f>
        <v>0.2248777445635739</v>
      </c>
      <c r="F34" s="29">
        <f>STDEV((F28-$G$12)/$G$12,(F29-$G$12)/$G$12,(F30-$G$12)/$G$12,(F31-$G$12)/$G$12,(F32-$G$12)/$G$12)</f>
        <v>3.894727386561777E-4</v>
      </c>
      <c r="G34" s="29">
        <f>STDEV(G28:G32)</f>
        <v>0.64023433210036462</v>
      </c>
      <c r="H34" s="29">
        <f>STDEV((H28-$I$12)/$I$12,(H29-$I$12)/$I$12,(H30-$I$12)/$I$12,(H31-$I$12)/$I$12,(H32-$I$12)/$I$12)</f>
        <v>2.9816779881544596E-3</v>
      </c>
      <c r="I34" s="29">
        <f>STDEV(I28:I32)</f>
        <v>1.0219931506619795</v>
      </c>
    </row>
    <row r="35" spans="1:9" ht="15.75" x14ac:dyDescent="0.25">
      <c r="A35" s="37"/>
      <c r="B35" s="38"/>
      <c r="C35" s="38"/>
      <c r="D35" s="38"/>
      <c r="E35" s="38"/>
      <c r="F35" s="38"/>
      <c r="G35" s="38"/>
      <c r="H35" s="38"/>
      <c r="I35" s="38"/>
    </row>
    <row r="36" spans="1:9" ht="17.25" customHeight="1" x14ac:dyDescent="0.25">
      <c r="B36" s="38"/>
      <c r="C36" s="38"/>
      <c r="D36" s="38"/>
      <c r="E36" s="38"/>
      <c r="F36" s="38"/>
      <c r="G36" s="38"/>
      <c r="H36" s="38"/>
      <c r="I36" s="38"/>
    </row>
    <row r="37" spans="1:9" ht="47.25" thickBot="1" x14ac:dyDescent="0.4">
      <c r="A37" s="46" t="s">
        <v>26</v>
      </c>
      <c r="B37" s="62" t="s">
        <v>0</v>
      </c>
      <c r="C37" s="63"/>
      <c r="D37" s="62" t="s">
        <v>1</v>
      </c>
      <c r="E37" s="63"/>
      <c r="F37" s="62" t="s">
        <v>2</v>
      </c>
      <c r="G37" s="63"/>
      <c r="H37" s="62" t="s">
        <v>3</v>
      </c>
      <c r="I37" s="63"/>
    </row>
    <row r="38" spans="1:9" ht="15" customHeight="1" x14ac:dyDescent="0.25">
      <c r="A38" s="64" t="s">
        <v>24</v>
      </c>
      <c r="B38" s="12" t="s">
        <v>5</v>
      </c>
      <c r="C38" s="13">
        <v>20</v>
      </c>
      <c r="D38" s="14" t="s">
        <v>5</v>
      </c>
      <c r="E38" s="13">
        <v>20</v>
      </c>
      <c r="F38" s="14" t="s">
        <v>5</v>
      </c>
      <c r="G38" s="13">
        <v>30</v>
      </c>
      <c r="H38" s="14" t="s">
        <v>5</v>
      </c>
      <c r="I38" s="13">
        <v>30</v>
      </c>
    </row>
    <row r="39" spans="1:9" ht="15" customHeight="1" x14ac:dyDescent="0.25">
      <c r="A39" s="65"/>
      <c r="B39" s="67" t="s">
        <v>6</v>
      </c>
      <c r="C39" s="69">
        <v>3542</v>
      </c>
      <c r="D39" s="67" t="s">
        <v>6</v>
      </c>
      <c r="E39" s="69">
        <v>26876</v>
      </c>
      <c r="F39" s="67" t="s">
        <v>6</v>
      </c>
      <c r="G39" s="69">
        <v>13292</v>
      </c>
      <c r="H39" s="67" t="s">
        <v>6</v>
      </c>
      <c r="I39" s="69">
        <v>150528</v>
      </c>
    </row>
    <row r="40" spans="1:9" ht="15.75" thickBot="1" x14ac:dyDescent="0.3">
      <c r="A40" s="65"/>
      <c r="B40" s="68"/>
      <c r="C40" s="70"/>
      <c r="D40" s="68"/>
      <c r="E40" s="70"/>
      <c r="F40" s="68"/>
      <c r="G40" s="70"/>
      <c r="H40" s="68"/>
      <c r="I40" s="70"/>
    </row>
    <row r="41" spans="1:9" ht="17.25" thickTop="1" thickBot="1" x14ac:dyDescent="0.3">
      <c r="A41" s="66"/>
      <c r="B41" s="15" t="s">
        <v>7</v>
      </c>
      <c r="C41" s="16" t="s">
        <v>8</v>
      </c>
      <c r="D41" s="15" t="s">
        <v>7</v>
      </c>
      <c r="E41" s="17" t="s">
        <v>8</v>
      </c>
      <c r="F41" s="15" t="s">
        <v>7</v>
      </c>
      <c r="G41" s="16" t="s">
        <v>8</v>
      </c>
      <c r="H41" s="15" t="s">
        <v>7</v>
      </c>
      <c r="I41" s="17" t="s">
        <v>8</v>
      </c>
    </row>
    <row r="42" spans="1:9" ht="15" customHeight="1" thickTop="1" thickBot="1" x14ac:dyDescent="0.3">
      <c r="A42" s="18" t="s">
        <v>11</v>
      </c>
      <c r="B42" s="19">
        <v>3612</v>
      </c>
      <c r="C42" s="20">
        <v>9.17</v>
      </c>
      <c r="D42" s="21">
        <v>31178</v>
      </c>
      <c r="E42" s="22">
        <v>9.15</v>
      </c>
      <c r="F42" s="19">
        <v>13362</v>
      </c>
      <c r="G42" s="20">
        <v>19.34</v>
      </c>
      <c r="H42" s="21">
        <v>175324</v>
      </c>
      <c r="I42" s="22">
        <v>18.28</v>
      </c>
    </row>
    <row r="43" spans="1:9" ht="14.45" customHeight="1" thickBot="1" x14ac:dyDescent="0.3">
      <c r="A43" s="23" t="s">
        <v>12</v>
      </c>
      <c r="B43" s="19">
        <v>3626</v>
      </c>
      <c r="C43" s="20">
        <v>8.6999999999999993</v>
      </c>
      <c r="D43" s="21">
        <v>30792</v>
      </c>
      <c r="E43" s="22">
        <v>8.6999999999999993</v>
      </c>
      <c r="F43" s="19">
        <v>13368</v>
      </c>
      <c r="G43" s="20">
        <v>18.87</v>
      </c>
      <c r="H43" s="21">
        <v>176270</v>
      </c>
      <c r="I43" s="22">
        <v>16.47</v>
      </c>
    </row>
    <row r="44" spans="1:9" ht="15" customHeight="1" thickBot="1" x14ac:dyDescent="0.3">
      <c r="A44" s="23" t="s">
        <v>13</v>
      </c>
      <c r="B44" s="19">
        <v>3620</v>
      </c>
      <c r="C44" s="20">
        <v>9.43</v>
      </c>
      <c r="D44" s="21">
        <v>30610</v>
      </c>
      <c r="E44" s="22">
        <v>8.51</v>
      </c>
      <c r="F44" s="19">
        <v>13358</v>
      </c>
      <c r="G44" s="20">
        <v>17.228000000000002</v>
      </c>
      <c r="H44" s="21">
        <v>175162</v>
      </c>
      <c r="I44" s="22">
        <v>20.45</v>
      </c>
    </row>
    <row r="45" spans="1:9" ht="15" customHeight="1" thickBot="1" x14ac:dyDescent="0.3">
      <c r="A45" s="23" t="s">
        <v>14</v>
      </c>
      <c r="B45" s="19">
        <v>3636</v>
      </c>
      <c r="C45" s="20">
        <v>10.029</v>
      </c>
      <c r="D45" s="21">
        <v>30878</v>
      </c>
      <c r="E45" s="22">
        <v>9.31</v>
      </c>
      <c r="F45" s="19">
        <v>13370</v>
      </c>
      <c r="G45" s="20">
        <v>21.94</v>
      </c>
      <c r="H45" s="21">
        <v>175926</v>
      </c>
      <c r="I45" s="22">
        <v>16.643999999999998</v>
      </c>
    </row>
    <row r="46" spans="1:9" ht="15" customHeight="1" thickBot="1" x14ac:dyDescent="0.3">
      <c r="A46" s="24" t="s">
        <v>15</v>
      </c>
      <c r="B46" s="25">
        <v>3622</v>
      </c>
      <c r="C46" s="26">
        <v>12.62</v>
      </c>
      <c r="D46" s="27">
        <v>30586</v>
      </c>
      <c r="E46" s="28">
        <v>8.48</v>
      </c>
      <c r="F46" s="25">
        <v>13360</v>
      </c>
      <c r="G46" s="26">
        <v>18.34</v>
      </c>
      <c r="H46" s="27">
        <v>175726</v>
      </c>
      <c r="I46" s="28">
        <v>18.28</v>
      </c>
    </row>
    <row r="47" spans="1:9" ht="15.75" customHeight="1" thickTop="1" thickBot="1" x14ac:dyDescent="0.3">
      <c r="A47" s="9" t="s">
        <v>10</v>
      </c>
      <c r="B47" s="10">
        <f>AVERAGE((B42-$C$12)/$C$12,(B43-$C$12)/$C$12,(B44-$C$12)/$C$12,(B45-$C$12)/$C$12,(B46-$C$12)/$C$12)</f>
        <v>2.292490118577075E-2</v>
      </c>
      <c r="C47" s="11">
        <f>AVERAGE(C42:C46)</f>
        <v>9.9897999999999989</v>
      </c>
      <c r="D47" s="10">
        <f>AVERAGE((D42-$E$12)/$E$12,(D43-$E$12)/$E$12,(D44-$E$12)/$E$12,(D45-$E$12)/$E$12,(D46-$E$12)/$E$12)</f>
        <v>0.14633129930049116</v>
      </c>
      <c r="E47" s="11">
        <f>AVERAGE(E42:E46)</f>
        <v>8.8300000000000018</v>
      </c>
      <c r="F47" s="10">
        <f>AVERAGE((F42-$G$12)/$G$12,(F43-$G$12)/$G$12,(F44-$G$12)/$G$12,(F45-$G$12)/$G$12,(F46-$G$12)/$G$12)</f>
        <v>5.386698766175143E-3</v>
      </c>
      <c r="G47" s="11">
        <f>AVERAGE(G42:G46)</f>
        <v>19.143599999999999</v>
      </c>
      <c r="H47" s="10">
        <f>AVERAGE((H42-$I$12)/$I$12,(H43-$I$12)/$I$12,(H44-$I$12)/$I$12,(H45-$I$12)/$I$12,(H46-$I$12)/$I$12)</f>
        <v>0.16710246598639455</v>
      </c>
      <c r="I47" s="11">
        <f>AVERAGE(I42:I46)</f>
        <v>18.024799999999999</v>
      </c>
    </row>
    <row r="48" spans="1:9" ht="15.75" customHeight="1" thickBot="1" x14ac:dyDescent="0.3">
      <c r="A48" s="23" t="s">
        <v>16</v>
      </c>
      <c r="B48" s="29">
        <f>STDEV((B42-$C$12)/$C$12,(B43-$C$12)/$C$12,(B44-$C$12)/$C$12,(B45-$C$12)/$C$12,(B46-$C$12)/$C$12)</f>
        <v>2.4806191571415917E-3</v>
      </c>
      <c r="C48" s="29">
        <f>STDEV(C42:C46)</f>
        <v>1.5466512858430665</v>
      </c>
      <c r="D48" s="29">
        <f>STDEV((D42-$E$12)/$E$12,(D43-$E$12)/$E$12,(D44-$E$12)/$E$12,(D45-$E$12)/$E$12,(D46-$E$12)/$E$12)</f>
        <v>8.9326284466829716E-3</v>
      </c>
      <c r="E48" s="29">
        <f>STDEV(E42:E46)</f>
        <v>0.37901187316494472</v>
      </c>
      <c r="F48" s="29">
        <f>STDEV((F42-$G$12)/$G$12,(F43-$G$12)/$G$12,(F44-$G$12)/$G$12,(F45-$G$12)/$G$12,(F46-$G$12)/$G$12)</f>
        <v>3.894727386561777E-4</v>
      </c>
      <c r="G48" s="29">
        <f>STDEV(G42:G46)</f>
        <v>1.7498985113428722</v>
      </c>
      <c r="H48" s="29">
        <f>STDEV((H42-$I$12)/$I$12,(H43-$I$12)/$I$12,(H44-$I$12)/$I$12,(H45-$I$12)/$I$12,(H46-$I$12)/$I$12)</f>
        <v>2.9816779881544596E-3</v>
      </c>
      <c r="I48" s="29">
        <f>STDEV(I42:I46)</f>
        <v>1.6074716793772765</v>
      </c>
    </row>
    <row r="49" spans="1:27" ht="24" customHeight="1" x14ac:dyDescent="0.25"/>
    <row r="50" spans="1:27" ht="15.75" customHeight="1" thickBot="1" x14ac:dyDescent="0.3">
      <c r="O50" t="str">
        <f>J56</f>
        <v>Media</v>
      </c>
    </row>
    <row r="51" spans="1:27" ht="15.75" customHeight="1" thickTop="1" thickBot="1" x14ac:dyDescent="0.3">
      <c r="N51" s="52" t="str">
        <f>A57</f>
        <v>Cruce=OX2, E=1, kBest=2, kWorst=3</v>
      </c>
      <c r="O51" s="41">
        <f>J57</f>
        <v>9.728650865737147E-2</v>
      </c>
    </row>
    <row r="52" spans="1:27" ht="15.75" customHeight="1" thickTop="1" thickBot="1" x14ac:dyDescent="0.3">
      <c r="N52" s="52" t="str">
        <f>A58</f>
        <v>Cruce=OX2, E=1, kBest=3, kWorst=3</v>
      </c>
      <c r="O52" s="41">
        <f>J58</f>
        <v>8.5436341309707897E-2</v>
      </c>
    </row>
    <row r="53" spans="1:27" ht="15.75" customHeight="1" thickTop="1" thickBot="1" x14ac:dyDescent="0.3">
      <c r="N53" s="52" t="str">
        <f>A59</f>
        <v>Cruce=OX2, E=2, kBest=2, kWorst=3</v>
      </c>
      <c r="O53" s="41">
        <f>J59</f>
        <v>8.5436341309707897E-2</v>
      </c>
    </row>
    <row r="54" spans="1:27" ht="15.75" customHeight="1" thickTop="1" thickBot="1" x14ac:dyDescent="0.3">
      <c r="N54" s="52"/>
      <c r="O54" s="41"/>
    </row>
    <row r="55" spans="1:27" ht="15.75" customHeight="1" thickTop="1" thickBot="1" x14ac:dyDescent="0.3">
      <c r="A55" s="57" t="s">
        <v>33</v>
      </c>
      <c r="B55" s="58" t="s">
        <v>0</v>
      </c>
      <c r="C55" s="59"/>
      <c r="D55" s="60" t="s">
        <v>1</v>
      </c>
      <c r="E55" s="59"/>
      <c r="F55" s="60" t="s">
        <v>2</v>
      </c>
      <c r="G55" s="59"/>
      <c r="H55" s="60" t="s">
        <v>3</v>
      </c>
      <c r="I55" s="61"/>
      <c r="J55" s="55" t="s">
        <v>19</v>
      </c>
      <c r="K55" s="56"/>
    </row>
    <row r="56" spans="1:27" ht="15.75" customHeight="1" thickBot="1" x14ac:dyDescent="0.3">
      <c r="A56" s="57"/>
      <c r="B56" s="15" t="s">
        <v>10</v>
      </c>
      <c r="C56" s="16" t="s">
        <v>8</v>
      </c>
      <c r="D56" s="15" t="s">
        <v>10</v>
      </c>
      <c r="E56" s="17" t="s">
        <v>8</v>
      </c>
      <c r="F56" s="15" t="s">
        <v>10</v>
      </c>
      <c r="G56" s="16" t="s">
        <v>8</v>
      </c>
      <c r="H56" s="15" t="s">
        <v>10</v>
      </c>
      <c r="I56" s="17" t="s">
        <v>8</v>
      </c>
      <c r="J56" s="31" t="s">
        <v>10</v>
      </c>
      <c r="K56" s="32" t="s">
        <v>8</v>
      </c>
    </row>
    <row r="57" spans="1:27" ht="17.25" thickTop="1" thickBot="1" x14ac:dyDescent="0.3">
      <c r="A57" s="53" t="s">
        <v>20</v>
      </c>
      <c r="B57" s="48">
        <f>B20</f>
        <v>2.3602484472049691E-2</v>
      </c>
      <c r="C57" s="29">
        <f>C20</f>
        <v>4.8453999999999997</v>
      </c>
      <c r="D57" s="42">
        <f>D20</f>
        <v>0.15256734633129929</v>
      </c>
      <c r="E57" s="29">
        <f>E20</f>
        <v>4.4859999999999998</v>
      </c>
      <c r="F57" s="42">
        <f>F20</f>
        <v>4.3033403551008126E-3</v>
      </c>
      <c r="G57" s="29">
        <f>G20</f>
        <v>9.2309999999999981</v>
      </c>
      <c r="H57" s="42">
        <f>H20</f>
        <v>0.13498883928571428</v>
      </c>
      <c r="I57" s="29">
        <f>I20</f>
        <v>9.0539999999999985</v>
      </c>
      <c r="J57" s="44">
        <f>AVERAGE(B56,D57,F57,H57)</f>
        <v>9.728650865737147E-2</v>
      </c>
      <c r="K57" s="34">
        <f t="shared" ref="K57:K59" si="0">AVERAGE(C57,E57,G57,I57)</f>
        <v>6.9040999999999988</v>
      </c>
    </row>
    <row r="58" spans="1:27" ht="17.25" thickTop="1" thickBot="1" x14ac:dyDescent="0.3">
      <c r="A58" s="52" t="s">
        <v>21</v>
      </c>
      <c r="B58" s="48">
        <f>B33</f>
        <v>2.292490118577075E-2</v>
      </c>
      <c r="C58" s="29">
        <f>C33</f>
        <v>7.5739999999999998</v>
      </c>
      <c r="D58" s="42">
        <f>D33</f>
        <v>0.14633129930049116</v>
      </c>
      <c r="E58" s="29">
        <f>E33</f>
        <v>6.831999999999999</v>
      </c>
      <c r="F58" s="42">
        <f>F33</f>
        <v>5.386698766175143E-3</v>
      </c>
      <c r="G58" s="29">
        <f>G33</f>
        <v>14.089999999999998</v>
      </c>
      <c r="H58" s="42">
        <f>H33</f>
        <v>0.16710246598639455</v>
      </c>
      <c r="I58" s="29">
        <f>I33</f>
        <v>13.342000000000002</v>
      </c>
      <c r="J58" s="44">
        <f t="shared" ref="J58:J59" si="1">AVERAGE(B58,D58,F58,H58)</f>
        <v>8.5436341309707897E-2</v>
      </c>
      <c r="K58" s="34">
        <f t="shared" si="0"/>
        <v>10.459499999999998</v>
      </c>
    </row>
    <row r="59" spans="1:27" ht="17.25" thickTop="1" thickBot="1" x14ac:dyDescent="0.3">
      <c r="A59" s="52" t="s">
        <v>22</v>
      </c>
      <c r="B59" s="49">
        <f>B47</f>
        <v>2.292490118577075E-2</v>
      </c>
      <c r="C59" s="35">
        <f>C47</f>
        <v>9.9897999999999989</v>
      </c>
      <c r="D59" s="43">
        <f>D47</f>
        <v>0.14633129930049116</v>
      </c>
      <c r="E59" s="35">
        <f>E47</f>
        <v>8.8300000000000018</v>
      </c>
      <c r="F59" s="43">
        <f>F47</f>
        <v>5.386698766175143E-3</v>
      </c>
      <c r="G59" s="35">
        <f>G47</f>
        <v>19.143599999999999</v>
      </c>
      <c r="H59" s="43">
        <f>H47</f>
        <v>0.16710246598639455</v>
      </c>
      <c r="I59" s="35">
        <f>I47</f>
        <v>18.024799999999999</v>
      </c>
      <c r="J59" s="44">
        <f t="shared" si="1"/>
        <v>8.5436341309707897E-2</v>
      </c>
      <c r="K59" s="34">
        <f t="shared" si="0"/>
        <v>13.99705</v>
      </c>
    </row>
    <row r="60" spans="1:27" ht="27.75" thickTop="1" thickBot="1" x14ac:dyDescent="0.45">
      <c r="A60" s="30"/>
      <c r="Y60" s="52"/>
      <c r="Z60" s="41"/>
      <c r="AA60" s="54"/>
    </row>
    <row r="61" spans="1:27" ht="15.75" customHeight="1" thickTop="1" x14ac:dyDescent="0.25"/>
    <row r="62" spans="1:27" ht="15.75" customHeight="1" thickBot="1" x14ac:dyDescent="0.3"/>
    <row r="63" spans="1:27" ht="15.75" customHeight="1" thickTop="1" thickBot="1" x14ac:dyDescent="0.3">
      <c r="A63" s="57" t="s">
        <v>33</v>
      </c>
      <c r="B63" s="58" t="s">
        <v>0</v>
      </c>
      <c r="C63" s="59"/>
      <c r="D63" s="60" t="s">
        <v>1</v>
      </c>
      <c r="E63" s="59"/>
      <c r="F63" s="60" t="s">
        <v>2</v>
      </c>
      <c r="G63" s="59"/>
      <c r="H63" s="60" t="s">
        <v>3</v>
      </c>
      <c r="I63" s="61"/>
      <c r="J63" s="55" t="s">
        <v>17</v>
      </c>
      <c r="K63" s="56"/>
    </row>
    <row r="64" spans="1:27" ht="15.75" customHeight="1" thickBot="1" x14ac:dyDescent="0.3">
      <c r="A64" s="57"/>
      <c r="B64" s="15" t="s">
        <v>18</v>
      </c>
      <c r="C64" s="16" t="s">
        <v>8</v>
      </c>
      <c r="D64" s="15" t="s">
        <v>18</v>
      </c>
      <c r="E64" s="17" t="s">
        <v>8</v>
      </c>
      <c r="F64" s="15" t="s">
        <v>18</v>
      </c>
      <c r="G64" s="16" t="s">
        <v>8</v>
      </c>
      <c r="H64" s="15" t="s">
        <v>18</v>
      </c>
      <c r="I64" s="17" t="s">
        <v>8</v>
      </c>
      <c r="J64" s="31" t="s">
        <v>18</v>
      </c>
      <c r="K64" s="32" t="s">
        <v>8</v>
      </c>
    </row>
    <row r="65" spans="1:11" ht="17.25" thickTop="1" thickBot="1" x14ac:dyDescent="0.3">
      <c r="A65" s="53" t="s">
        <v>20</v>
      </c>
      <c r="B65" s="50">
        <f>B21</f>
        <v>2.3417776796530463E-3</v>
      </c>
      <c r="C65" s="50">
        <f>C21</f>
        <v>0.33755118130440637</v>
      </c>
      <c r="D65" s="50">
        <f>D21</f>
        <v>1.4310438019921079E-2</v>
      </c>
      <c r="E65" s="50">
        <f>E21</f>
        <v>0.17812916661793488</v>
      </c>
      <c r="F65" s="50">
        <f>F21</f>
        <v>1.8507984497965638E-3</v>
      </c>
      <c r="G65" s="50">
        <f>G21</f>
        <v>0.35718342626723315</v>
      </c>
      <c r="H65" s="50">
        <f>H21</f>
        <v>7.6112938928016141E-2</v>
      </c>
      <c r="I65" s="50">
        <f>I21</f>
        <v>0.18822858443923979</v>
      </c>
      <c r="J65" s="33">
        <f t="shared" ref="J65:K65" si="2">AVERAGE(B65,D65,F65,H65)</f>
        <v>2.3653988269346709E-2</v>
      </c>
      <c r="K65" s="34">
        <f t="shared" si="2"/>
        <v>0.26527308965720353</v>
      </c>
    </row>
    <row r="66" spans="1:11" ht="17.25" thickTop="1" thickBot="1" x14ac:dyDescent="0.3">
      <c r="A66" s="52" t="s">
        <v>21</v>
      </c>
      <c r="B66" s="50">
        <f>B34</f>
        <v>2.4806191571415917E-3</v>
      </c>
      <c r="C66" s="50">
        <f>C34</f>
        <v>1.1654741524375491</v>
      </c>
      <c r="D66" s="50">
        <f>D34</f>
        <v>8.9326284466829716E-3</v>
      </c>
      <c r="E66" s="50">
        <f>E34</f>
        <v>0.2248777445635739</v>
      </c>
      <c r="F66" s="50">
        <f>F34</f>
        <v>3.894727386561777E-4</v>
      </c>
      <c r="G66" s="50">
        <f>G34</f>
        <v>0.64023433210036462</v>
      </c>
      <c r="H66" s="50">
        <f>H34</f>
        <v>2.9816779881544596E-3</v>
      </c>
      <c r="I66" s="50">
        <f>I34</f>
        <v>1.0219931506619795</v>
      </c>
      <c r="J66" s="33">
        <f t="shared" ref="J66:K67" si="3">AVERAGE(B66,D66,F66,H66)</f>
        <v>3.6960995826588001E-3</v>
      </c>
      <c r="K66" s="34">
        <f t="shared" si="3"/>
        <v>0.76314484494086676</v>
      </c>
    </row>
    <row r="67" spans="1:11" ht="17.25" thickTop="1" thickBot="1" x14ac:dyDescent="0.3">
      <c r="A67" s="52" t="s">
        <v>22</v>
      </c>
      <c r="B67" s="51">
        <f>B48</f>
        <v>2.4806191571415917E-3</v>
      </c>
      <c r="C67" s="51">
        <f>C48</f>
        <v>1.5466512858430665</v>
      </c>
      <c r="D67" s="51">
        <f>D48</f>
        <v>8.9326284466829716E-3</v>
      </c>
      <c r="E67" s="51">
        <f>E48</f>
        <v>0.37901187316494472</v>
      </c>
      <c r="F67" s="51">
        <f>F48</f>
        <v>3.894727386561777E-4</v>
      </c>
      <c r="G67" s="51">
        <f>G48</f>
        <v>1.7498985113428722</v>
      </c>
      <c r="H67" s="51">
        <f>H48</f>
        <v>2.9816779881544596E-3</v>
      </c>
      <c r="I67" s="51">
        <f>I48</f>
        <v>1.6074716793772765</v>
      </c>
      <c r="J67" s="33">
        <f t="shared" si="3"/>
        <v>3.6960995826588001E-3</v>
      </c>
      <c r="K67" s="34">
        <f t="shared" si="3"/>
        <v>1.32075833743204</v>
      </c>
    </row>
    <row r="68" spans="1:11" ht="15.75" thickTop="1" x14ac:dyDescent="0.25"/>
    <row r="69" spans="1:11" ht="15.75" customHeight="1" x14ac:dyDescent="0.25"/>
    <row r="70" spans="1:11" ht="15.75" customHeight="1" x14ac:dyDescent="0.25">
      <c r="A70" s="81" t="s">
        <v>27</v>
      </c>
    </row>
    <row r="71" spans="1:11" ht="15.75" customHeight="1" x14ac:dyDescent="0.25"/>
    <row r="72" spans="1:11" ht="15.75" customHeight="1" x14ac:dyDescent="0.25"/>
    <row r="73" spans="1:11" ht="47.25" thickBot="1" x14ac:dyDescent="0.4">
      <c r="A73" s="46" t="s">
        <v>29</v>
      </c>
      <c r="B73" s="62" t="s">
        <v>0</v>
      </c>
      <c r="C73" s="63"/>
      <c r="D73" s="62" t="s">
        <v>1</v>
      </c>
      <c r="E73" s="63"/>
      <c r="F73" s="62" t="s">
        <v>2</v>
      </c>
      <c r="G73" s="63"/>
      <c r="H73" s="62" t="s">
        <v>3</v>
      </c>
      <c r="I73" s="63"/>
    </row>
    <row r="74" spans="1:11" ht="15.75" customHeight="1" x14ac:dyDescent="0.25">
      <c r="A74" s="64" t="s">
        <v>24</v>
      </c>
      <c r="B74" s="12" t="s">
        <v>5</v>
      </c>
      <c r="C74" s="13">
        <v>20</v>
      </c>
      <c r="D74" s="14" t="s">
        <v>5</v>
      </c>
      <c r="E74" s="13">
        <v>20</v>
      </c>
      <c r="F74" s="14" t="s">
        <v>5</v>
      </c>
      <c r="G74" s="13">
        <v>30</v>
      </c>
      <c r="H74" s="14" t="s">
        <v>5</v>
      </c>
      <c r="I74" s="13">
        <v>30</v>
      </c>
    </row>
    <row r="75" spans="1:11" ht="15.75" customHeight="1" x14ac:dyDescent="0.25">
      <c r="A75" s="72"/>
      <c r="B75" s="67" t="s">
        <v>6</v>
      </c>
      <c r="C75" s="69">
        <v>3542</v>
      </c>
      <c r="D75" s="67" t="s">
        <v>6</v>
      </c>
      <c r="E75" s="69">
        <v>26876</v>
      </c>
      <c r="F75" s="67" t="s">
        <v>6</v>
      </c>
      <c r="G75" s="69">
        <v>13292</v>
      </c>
      <c r="H75" s="67" t="s">
        <v>6</v>
      </c>
      <c r="I75" s="69">
        <v>150528</v>
      </c>
    </row>
    <row r="76" spans="1:11" ht="15.75" customHeight="1" thickBot="1" x14ac:dyDescent="0.3">
      <c r="A76" s="72"/>
      <c r="B76" s="68"/>
      <c r="C76" s="70"/>
      <c r="D76" s="68"/>
      <c r="E76" s="70"/>
      <c r="F76" s="68"/>
      <c r="G76" s="70"/>
      <c r="H76" s="68"/>
      <c r="I76" s="70"/>
    </row>
    <row r="77" spans="1:11" ht="15.75" customHeight="1" thickTop="1" thickBot="1" x14ac:dyDescent="0.3">
      <c r="A77" s="73"/>
      <c r="B77" s="15" t="s">
        <v>7</v>
      </c>
      <c r="C77" s="16" t="s">
        <v>8</v>
      </c>
      <c r="D77" s="15" t="s">
        <v>7</v>
      </c>
      <c r="E77" s="17" t="s">
        <v>8</v>
      </c>
      <c r="F77" s="15" t="s">
        <v>7</v>
      </c>
      <c r="G77" s="16" t="s">
        <v>8</v>
      </c>
      <c r="H77" s="15" t="s">
        <v>7</v>
      </c>
      <c r="I77" s="17" t="s">
        <v>8</v>
      </c>
    </row>
    <row r="78" spans="1:11" ht="15.75" customHeight="1" thickTop="1" thickBot="1" x14ac:dyDescent="0.3">
      <c r="A78" s="39" t="s">
        <v>11</v>
      </c>
      <c r="B78" s="19">
        <v>3612</v>
      </c>
      <c r="C78" s="20">
        <v>3.94</v>
      </c>
      <c r="D78" s="21">
        <v>30916</v>
      </c>
      <c r="E78" s="22">
        <v>4.17</v>
      </c>
      <c r="F78" s="19">
        <v>13350</v>
      </c>
      <c r="G78" s="20">
        <v>7.95</v>
      </c>
      <c r="H78" s="21">
        <v>176522</v>
      </c>
      <c r="I78" s="22">
        <v>8.41</v>
      </c>
    </row>
    <row r="79" spans="1:11" ht="15.75" customHeight="1" thickBot="1" x14ac:dyDescent="0.3">
      <c r="A79" s="23" t="s">
        <v>12</v>
      </c>
      <c r="B79" s="19">
        <v>3634</v>
      </c>
      <c r="C79" s="20">
        <v>4.21</v>
      </c>
      <c r="D79" s="21">
        <v>31290</v>
      </c>
      <c r="E79" s="22">
        <v>3.89</v>
      </c>
      <c r="F79" s="19">
        <v>13344</v>
      </c>
      <c r="G79" s="20">
        <v>8.42</v>
      </c>
      <c r="H79" s="21">
        <v>175622</v>
      </c>
      <c r="I79" s="22">
        <v>8.43</v>
      </c>
      <c r="J79" s="47"/>
    </row>
    <row r="80" spans="1:11" ht="15.75" customHeight="1" thickBot="1" x14ac:dyDescent="0.3">
      <c r="A80" s="23" t="s">
        <v>13</v>
      </c>
      <c r="B80" s="19">
        <v>3630</v>
      </c>
      <c r="C80" s="20">
        <v>4.21</v>
      </c>
      <c r="D80" s="21">
        <v>30856</v>
      </c>
      <c r="E80" s="22">
        <v>4.13</v>
      </c>
      <c r="F80" s="19">
        <v>13358</v>
      </c>
      <c r="G80" s="20">
        <v>8.1300000000000008</v>
      </c>
      <c r="H80" s="21">
        <v>176470</v>
      </c>
      <c r="I80" s="22">
        <v>8.2899999999999991</v>
      </c>
    </row>
    <row r="81" spans="1:9" ht="15.75" customHeight="1" thickBot="1" x14ac:dyDescent="0.3">
      <c r="A81" s="23" t="s">
        <v>14</v>
      </c>
      <c r="B81" s="19">
        <v>3614</v>
      </c>
      <c r="C81" s="20">
        <v>4.03</v>
      </c>
      <c r="D81" s="21">
        <v>30228</v>
      </c>
      <c r="E81" s="22">
        <v>4.28</v>
      </c>
      <c r="F81" s="19">
        <v>13380</v>
      </c>
      <c r="G81" s="20">
        <v>8.32</v>
      </c>
      <c r="H81" s="21">
        <v>175878</v>
      </c>
      <c r="I81" s="22">
        <v>8.6300000000000008</v>
      </c>
    </row>
    <row r="82" spans="1:9" ht="15.75" customHeight="1" thickBot="1" x14ac:dyDescent="0.3">
      <c r="A82" s="24" t="s">
        <v>15</v>
      </c>
      <c r="B82" s="25">
        <v>3620</v>
      </c>
      <c r="C82" s="26">
        <v>4.09</v>
      </c>
      <c r="D82" s="27">
        <v>31060</v>
      </c>
      <c r="E82" s="28">
        <v>4.0599999999999996</v>
      </c>
      <c r="F82" s="25">
        <v>13328</v>
      </c>
      <c r="G82" s="26">
        <v>8.3800000000000008</v>
      </c>
      <c r="H82" s="27">
        <v>176714</v>
      </c>
      <c r="I82" s="28">
        <v>8.19</v>
      </c>
    </row>
    <row r="83" spans="1:9" ht="15.75" customHeight="1" thickTop="1" thickBot="1" x14ac:dyDescent="0.3">
      <c r="A83" s="9" t="s">
        <v>10</v>
      </c>
      <c r="B83" s="10">
        <f>AVERAGE((B78-$C$12)/$C$12,(B79-$C$12)/$C$12,(B80-$C$12)/$C$12,(B81-$C$12)/$C$12,(B82-$C$12)/$C$12)</f>
        <v>2.2586109542631284E-2</v>
      </c>
      <c r="C83" s="11">
        <f>AVERAGE(C78:C82)</f>
        <v>4.0960000000000001</v>
      </c>
      <c r="D83" s="10">
        <f>AVERAGE((D78-$E$12)/$E$12,(D79-$E$12)/$E$12,(D80-$E$12)/$E$12,(D81-$E$12)/$E$12,(D82-$E$12)/$E$12)</f>
        <v>0.14860842387260009</v>
      </c>
      <c r="E83" s="11">
        <f>AVERAGE(E78:E82)</f>
        <v>4.1059999999999999</v>
      </c>
      <c r="F83" s="10">
        <f>AVERAGE((F78-$G$12)/$G$12,(F79-$G$12)/$G$12,(F80-$G$12)/$G$12,(F81-$G$12)/$G$12,(F82-$G$12)/$G$12)</f>
        <v>4.5139933794763774E-3</v>
      </c>
      <c r="G83" s="11">
        <f>AVERAGE(G78:G82)</f>
        <v>8.24</v>
      </c>
      <c r="H83" s="10">
        <f>AVERAGE((H78-$I$12)/$I$12,(H79-$I$12)/$I$12,(H80-$I$12)/$I$12,(H81-$I$12)/$I$12,(H82-$I$12)/$I$12)</f>
        <v>0.17082004676870749</v>
      </c>
      <c r="I83" s="11">
        <f>AVERAGE(I78:I82)</f>
        <v>8.3899999999999988</v>
      </c>
    </row>
    <row r="84" spans="1:9" ht="15.75" customHeight="1" thickBot="1" x14ac:dyDescent="0.3">
      <c r="A84" s="23" t="s">
        <v>16</v>
      </c>
      <c r="B84" s="29">
        <f>STDEV((B78-$C$12)/$C$12,(B79-$C$12)/$C$12,(B80-$C$12)/$C$12,(B81-$C$12)/$C$12,(B82-$C$12)/$C$12)</f>
        <v>2.7372557071803105E-3</v>
      </c>
      <c r="C84" s="29">
        <f>STDEV(C78:C82)</f>
        <v>0.11696153213770753</v>
      </c>
      <c r="D84" s="29">
        <f>STDEV((D78-$E$12)/$E$12,(D79-$E$12)/$E$12,(D80-$E$12)/$E$12,(D81-$E$12)/$E$12,(D82-$E$12)/$E$12)</f>
        <v>1.4730952540250294E-2</v>
      </c>
      <c r="E84" s="29">
        <f>STDEV(E78:E82)</f>
        <v>0.14467204291085412</v>
      </c>
      <c r="F84" s="29">
        <f>STDEV((F78-$G$12)/$G$12,(F79-$G$12)/$G$12,(F80-$G$12)/$G$12,(F81-$G$12)/$G$12,(F82-$G$12)/$G$12)</f>
        <v>1.4392963037698609E-3</v>
      </c>
      <c r="G84" s="29">
        <f>STDEV(G78:G82)</f>
        <v>0.19659603251337499</v>
      </c>
      <c r="H84" s="29">
        <f>STDEV((H78-$I$12)/$I$12,(H79-$I$12)/$I$12,(H80-$I$12)/$I$12,(H81-$I$12)/$I$12,(H82-$I$12)/$I$12)</f>
        <v>3.0983288722381615E-3</v>
      </c>
      <c r="I84" s="29">
        <f>STDEV(I78:I82)</f>
        <v>0.16552945357246904</v>
      </c>
    </row>
    <row r="85" spans="1:9" ht="15.75" customHeight="1" x14ac:dyDescent="0.25">
      <c r="B85" s="38"/>
      <c r="C85" s="38"/>
      <c r="D85" s="38"/>
      <c r="E85" s="38"/>
      <c r="F85" s="38"/>
      <c r="G85" s="38"/>
      <c r="H85" s="38"/>
      <c r="I85" s="38"/>
    </row>
    <row r="86" spans="1:9" ht="47.25" thickBot="1" x14ac:dyDescent="0.4">
      <c r="A86" s="46" t="s">
        <v>30</v>
      </c>
      <c r="B86" s="62" t="s">
        <v>0</v>
      </c>
      <c r="C86" s="63"/>
      <c r="D86" s="62" t="s">
        <v>1</v>
      </c>
      <c r="E86" s="63"/>
      <c r="F86" s="62" t="s">
        <v>2</v>
      </c>
      <c r="G86" s="63"/>
      <c r="H86" s="62" t="s">
        <v>3</v>
      </c>
      <c r="I86" s="63"/>
    </row>
    <row r="87" spans="1:9" ht="15.75" customHeight="1" x14ac:dyDescent="0.25">
      <c r="A87" s="64" t="s">
        <v>24</v>
      </c>
      <c r="B87" s="12" t="s">
        <v>5</v>
      </c>
      <c r="C87" s="13">
        <v>20</v>
      </c>
      <c r="D87" s="14" t="s">
        <v>5</v>
      </c>
      <c r="E87" s="13">
        <v>20</v>
      </c>
      <c r="F87" s="14" t="s">
        <v>5</v>
      </c>
      <c r="G87" s="13">
        <v>30</v>
      </c>
      <c r="H87" s="14" t="s">
        <v>5</v>
      </c>
      <c r="I87" s="13">
        <v>30</v>
      </c>
    </row>
    <row r="88" spans="1:9" ht="15.75" customHeight="1" x14ac:dyDescent="0.25">
      <c r="A88" s="72"/>
      <c r="B88" s="67" t="s">
        <v>6</v>
      </c>
      <c r="C88" s="69">
        <v>3542</v>
      </c>
      <c r="D88" s="67" t="s">
        <v>6</v>
      </c>
      <c r="E88" s="69">
        <v>26876</v>
      </c>
      <c r="F88" s="67" t="s">
        <v>6</v>
      </c>
      <c r="G88" s="69">
        <v>13292</v>
      </c>
      <c r="H88" s="67" t="s">
        <v>6</v>
      </c>
      <c r="I88" s="69">
        <v>150528</v>
      </c>
    </row>
    <row r="89" spans="1:9" ht="15.75" customHeight="1" thickBot="1" x14ac:dyDescent="0.3">
      <c r="A89" s="72"/>
      <c r="B89" s="68"/>
      <c r="C89" s="70"/>
      <c r="D89" s="68"/>
      <c r="E89" s="70"/>
      <c r="F89" s="68"/>
      <c r="G89" s="70"/>
      <c r="H89" s="68"/>
      <c r="I89" s="70"/>
    </row>
    <row r="90" spans="1:9" ht="15.75" customHeight="1" thickTop="1" thickBot="1" x14ac:dyDescent="0.3">
      <c r="A90" s="73"/>
      <c r="B90" s="15" t="s">
        <v>7</v>
      </c>
      <c r="C90" s="16" t="s">
        <v>8</v>
      </c>
      <c r="D90" s="15" t="s">
        <v>7</v>
      </c>
      <c r="E90" s="17" t="s">
        <v>8</v>
      </c>
      <c r="F90" s="15" t="s">
        <v>7</v>
      </c>
      <c r="G90" s="16" t="s">
        <v>8</v>
      </c>
      <c r="H90" s="15" t="s">
        <v>7</v>
      </c>
      <c r="I90" s="17" t="s">
        <v>8</v>
      </c>
    </row>
    <row r="91" spans="1:9" ht="15.75" customHeight="1" thickTop="1" thickBot="1" x14ac:dyDescent="0.3">
      <c r="A91" s="39" t="s">
        <v>11</v>
      </c>
      <c r="B91" s="19">
        <v>3608</v>
      </c>
      <c r="C91" s="20">
        <v>5.1769999999999996</v>
      </c>
      <c r="D91" s="21">
        <v>30916</v>
      </c>
      <c r="E91" s="22">
        <v>4.75</v>
      </c>
      <c r="F91" s="19">
        <v>13376</v>
      </c>
      <c r="G91" s="20">
        <v>10.09</v>
      </c>
      <c r="H91" s="21">
        <v>176724</v>
      </c>
      <c r="I91" s="22">
        <v>9.25</v>
      </c>
    </row>
    <row r="92" spans="1:9" ht="15.75" customHeight="1" thickBot="1" x14ac:dyDescent="0.3">
      <c r="A92" s="23" t="s">
        <v>12</v>
      </c>
      <c r="B92" s="19">
        <v>3638</v>
      </c>
      <c r="C92" s="20">
        <v>5.35</v>
      </c>
      <c r="D92" s="21">
        <v>30766</v>
      </c>
      <c r="E92" s="22">
        <v>4.92</v>
      </c>
      <c r="F92" s="19">
        <v>13368</v>
      </c>
      <c r="G92" s="20">
        <v>10.18</v>
      </c>
      <c r="H92" s="21">
        <v>174708</v>
      </c>
      <c r="I92" s="22">
        <v>10.26</v>
      </c>
    </row>
    <row r="93" spans="1:9" ht="15.75" customHeight="1" thickBot="1" x14ac:dyDescent="0.3">
      <c r="A93" s="23" t="s">
        <v>13</v>
      </c>
      <c r="B93" s="19">
        <v>3630</v>
      </c>
      <c r="C93" s="20">
        <v>6.17</v>
      </c>
      <c r="D93" s="21">
        <v>30704</v>
      </c>
      <c r="E93" s="22">
        <v>5.35</v>
      </c>
      <c r="F93" s="19">
        <v>13358</v>
      </c>
      <c r="G93" s="20">
        <v>10.47</v>
      </c>
      <c r="H93" s="21">
        <v>174840</v>
      </c>
      <c r="I93" s="22">
        <v>10.210000000000001</v>
      </c>
    </row>
    <row r="94" spans="1:9" ht="15.75" customHeight="1" thickBot="1" x14ac:dyDescent="0.3">
      <c r="A94" s="23" t="s">
        <v>14</v>
      </c>
      <c r="B94" s="19">
        <v>3617</v>
      </c>
      <c r="C94" s="20">
        <v>5.0999999999999996</v>
      </c>
      <c r="D94" s="21">
        <v>30228</v>
      </c>
      <c r="E94" s="22">
        <v>4.9489999999999998</v>
      </c>
      <c r="F94" s="19">
        <v>13390</v>
      </c>
      <c r="G94" s="20">
        <v>10.65</v>
      </c>
      <c r="H94" s="21">
        <v>176222</v>
      </c>
      <c r="I94" s="22">
        <v>10.31</v>
      </c>
    </row>
    <row r="95" spans="1:9" ht="15.75" customHeight="1" thickBot="1" x14ac:dyDescent="0.3">
      <c r="A95" s="24" t="s">
        <v>15</v>
      </c>
      <c r="B95" s="25">
        <v>3620</v>
      </c>
      <c r="C95" s="26">
        <v>5.12</v>
      </c>
      <c r="D95" s="27">
        <v>26876</v>
      </c>
      <c r="E95" s="28">
        <v>5.07</v>
      </c>
      <c r="F95" s="25">
        <v>13328</v>
      </c>
      <c r="G95" s="26">
        <v>10.1</v>
      </c>
      <c r="H95" s="27">
        <v>175234</v>
      </c>
      <c r="I95" s="28">
        <v>10.55</v>
      </c>
    </row>
    <row r="96" spans="1:9" ht="15.75" customHeight="1" thickTop="1" thickBot="1" x14ac:dyDescent="0.3">
      <c r="A96" s="9" t="s">
        <v>10</v>
      </c>
      <c r="B96" s="10">
        <f>AVERAGE((B91-$C$12)/$C$12,(B92-$C$12)/$C$12,(B93-$C$12)/$C$12,(B94-$C$12)/$C$12,(B95-$C$12)/$C$12)</f>
        <v>2.2755505364201019E-2</v>
      </c>
      <c r="C96" s="11">
        <f>AVERAGE(C91:C95)</f>
        <v>5.3834</v>
      </c>
      <c r="D96" s="10">
        <f>AVERAGE((D91-$E$12)/$E$12,(D92-$E$12)/$E$12,(D93-$E$12)/$E$12,(D94-$E$12)/$E$12,(D95-$E$12)/$E$12)</f>
        <v>0.11244232772734038</v>
      </c>
      <c r="E96" s="11">
        <f>AVERAGE(E91:E95)</f>
        <v>5.0078000000000005</v>
      </c>
      <c r="F96" s="10">
        <f>AVERAGE((F91-$G$12)/$G$12,(F92-$G$12)/$G$12,(F93-$G$12)/$G$12,(F94-$G$12)/$G$12,(F95-$G$12)/$G$12)</f>
        <v>5.4167920553716527E-3</v>
      </c>
      <c r="G96" s="11">
        <f>AVERAGE(G91:G95)</f>
        <v>10.298</v>
      </c>
      <c r="H96" s="10">
        <f>AVERAGE((H91-$I$12)/$I$12,(H92-$I$12)/$I$12,(H93-$I$12)/$I$12,(H94-$I$12)/$I$12,(H95-$I$12)/$I$12)</f>
        <v>0.16619897959183674</v>
      </c>
      <c r="I96" s="11">
        <f>AVERAGE(I91:I95)</f>
        <v>10.116</v>
      </c>
    </row>
    <row r="97" spans="1:9" ht="15.75" customHeight="1" thickBot="1" x14ac:dyDescent="0.3">
      <c r="A97" s="23" t="s">
        <v>16</v>
      </c>
      <c r="B97" s="29">
        <f>STDEV((B91-$C$12)/$C$12,(B92-$C$12)/$C$12,(B93-$C$12)/$C$12,(B94-$C$12)/$C$12,(B95-$C$12)/$C$12)</f>
        <v>3.2900411365233691E-3</v>
      </c>
      <c r="C97" s="29">
        <f>STDEV(C91:C95)</f>
        <v>0.45059715933414413</v>
      </c>
      <c r="D97" s="29">
        <f>STDEV((D91-$E$12)/$E$12,(D92-$E$12)/$E$12,(D93-$E$12)/$E$12,(D94-$E$12)/$E$12,(D95-$E$12)/$E$12)</f>
        <v>6.3583008181674672E-2</v>
      </c>
      <c r="E97" s="29">
        <f>STDEV(E91:E95)</f>
        <v>0.2228210043959051</v>
      </c>
      <c r="F97" s="29">
        <f>STDEV((F91-$G$12)/$G$12,(F92-$G$12)/$G$12,(F93-$G$12)/$G$12,(F94-$G$12)/$G$12,(F95-$G$12)/$G$12)</f>
        <v>1.7514966486341884E-3</v>
      </c>
      <c r="G97" s="29">
        <f>STDEV(G91:G95)</f>
        <v>0.24993999279827186</v>
      </c>
      <c r="H97" s="29">
        <f>STDEV((H91-$I$12)/$I$12,(H92-$I$12)/$I$12,(H93-$I$12)/$I$12,(H94-$I$12)/$I$12,(H95-$I$12)/$I$12)</f>
        <v>5.8884774316903732E-3</v>
      </c>
      <c r="I97" s="29">
        <f>STDEV(I91:I95)</f>
        <v>0.50137810083808032</v>
      </c>
    </row>
    <row r="98" spans="1:9" ht="15.75" customHeight="1" x14ac:dyDescent="0.25">
      <c r="A98" s="37"/>
      <c r="B98" s="38"/>
      <c r="C98" s="38"/>
      <c r="D98" s="38"/>
      <c r="E98" s="38"/>
      <c r="F98" s="38"/>
      <c r="G98" s="38"/>
      <c r="H98" s="38"/>
      <c r="I98" s="38"/>
    </row>
    <row r="99" spans="1:9" ht="15.75" customHeight="1" x14ac:dyDescent="0.25">
      <c r="B99" s="38"/>
      <c r="C99" s="38"/>
      <c r="D99" s="38"/>
      <c r="E99" s="38"/>
      <c r="F99" s="38"/>
      <c r="G99" s="38"/>
      <c r="H99" s="38"/>
      <c r="I99" s="38"/>
    </row>
    <row r="100" spans="1:9" ht="47.25" thickBot="1" x14ac:dyDescent="0.4">
      <c r="A100" s="46" t="s">
        <v>31</v>
      </c>
      <c r="B100" s="62" t="s">
        <v>0</v>
      </c>
      <c r="C100" s="63"/>
      <c r="D100" s="62" t="s">
        <v>1</v>
      </c>
      <c r="E100" s="63"/>
      <c r="F100" s="62" t="s">
        <v>2</v>
      </c>
      <c r="G100" s="63"/>
      <c r="H100" s="62" t="s">
        <v>3</v>
      </c>
      <c r="I100" s="63"/>
    </row>
    <row r="101" spans="1:9" ht="15.75" customHeight="1" x14ac:dyDescent="0.25">
      <c r="A101" s="64" t="s">
        <v>24</v>
      </c>
      <c r="B101" s="12" t="s">
        <v>5</v>
      </c>
      <c r="C101" s="13">
        <v>20</v>
      </c>
      <c r="D101" s="14" t="s">
        <v>5</v>
      </c>
      <c r="E101" s="13">
        <v>20</v>
      </c>
      <c r="F101" s="14" t="s">
        <v>5</v>
      </c>
      <c r="G101" s="13">
        <v>30</v>
      </c>
      <c r="H101" s="14" t="s">
        <v>5</v>
      </c>
      <c r="I101" s="13">
        <v>30</v>
      </c>
    </row>
    <row r="102" spans="1:9" ht="15.75" customHeight="1" x14ac:dyDescent="0.25">
      <c r="A102" s="65"/>
      <c r="B102" s="67" t="s">
        <v>6</v>
      </c>
      <c r="C102" s="69">
        <v>3542</v>
      </c>
      <c r="D102" s="67" t="s">
        <v>6</v>
      </c>
      <c r="E102" s="69">
        <v>26876</v>
      </c>
      <c r="F102" s="67" t="s">
        <v>6</v>
      </c>
      <c r="G102" s="69">
        <v>13292</v>
      </c>
      <c r="H102" s="67" t="s">
        <v>6</v>
      </c>
      <c r="I102" s="69">
        <v>150528</v>
      </c>
    </row>
    <row r="103" spans="1:9" ht="15.75" customHeight="1" thickBot="1" x14ac:dyDescent="0.3">
      <c r="A103" s="65"/>
      <c r="B103" s="68"/>
      <c r="C103" s="70"/>
      <c r="D103" s="68"/>
      <c r="E103" s="70"/>
      <c r="F103" s="68"/>
      <c r="G103" s="70"/>
      <c r="H103" s="68"/>
      <c r="I103" s="70"/>
    </row>
    <row r="104" spans="1:9" ht="15.75" customHeight="1" thickTop="1" thickBot="1" x14ac:dyDescent="0.3">
      <c r="A104" s="66"/>
      <c r="B104" s="15" t="s">
        <v>7</v>
      </c>
      <c r="C104" s="16" t="s">
        <v>8</v>
      </c>
      <c r="D104" s="15" t="s">
        <v>7</v>
      </c>
      <c r="E104" s="17" t="s">
        <v>8</v>
      </c>
      <c r="F104" s="15" t="s">
        <v>7</v>
      </c>
      <c r="G104" s="16" t="s">
        <v>8</v>
      </c>
      <c r="H104" s="15" t="s">
        <v>7</v>
      </c>
      <c r="I104" s="17" t="s">
        <v>8</v>
      </c>
    </row>
    <row r="105" spans="1:9" ht="15.75" customHeight="1" thickTop="1" thickBot="1" x14ac:dyDescent="0.3">
      <c r="A105" s="18" t="s">
        <v>11</v>
      </c>
      <c r="B105" s="19">
        <v>3608</v>
      </c>
      <c r="C105" s="20">
        <v>6.944</v>
      </c>
      <c r="D105" s="21">
        <v>30916</v>
      </c>
      <c r="E105" s="22">
        <v>6.12</v>
      </c>
      <c r="F105" s="19">
        <v>13376</v>
      </c>
      <c r="G105" s="20">
        <v>13.55</v>
      </c>
      <c r="H105" s="21">
        <v>176724</v>
      </c>
      <c r="I105" s="22">
        <v>12.18</v>
      </c>
    </row>
    <row r="106" spans="1:9" ht="15.75" customHeight="1" thickBot="1" x14ac:dyDescent="0.3">
      <c r="A106" s="23" t="s">
        <v>12</v>
      </c>
      <c r="B106" s="19">
        <v>3638</v>
      </c>
      <c r="C106" s="20">
        <v>7.54</v>
      </c>
      <c r="D106" s="21">
        <v>30766</v>
      </c>
      <c r="E106" s="22">
        <v>6.59</v>
      </c>
      <c r="F106" s="19">
        <v>13368</v>
      </c>
      <c r="G106" s="20">
        <v>13.48</v>
      </c>
      <c r="H106" s="21">
        <v>175622</v>
      </c>
      <c r="I106" s="22">
        <v>16.46</v>
      </c>
    </row>
    <row r="107" spans="1:9" ht="15.75" customHeight="1" thickBot="1" x14ac:dyDescent="0.3">
      <c r="A107" s="23" t="s">
        <v>13</v>
      </c>
      <c r="B107" s="19">
        <v>3630</v>
      </c>
      <c r="C107" s="20">
        <v>7.47</v>
      </c>
      <c r="D107" s="21">
        <v>30704</v>
      </c>
      <c r="E107" s="22">
        <v>6.53</v>
      </c>
      <c r="F107" s="19">
        <v>13358</v>
      </c>
      <c r="G107" s="20">
        <v>13.03</v>
      </c>
      <c r="H107" s="21">
        <v>174840</v>
      </c>
      <c r="I107" s="22">
        <v>12.4</v>
      </c>
    </row>
    <row r="108" spans="1:9" ht="15.75" customHeight="1" thickBot="1" x14ac:dyDescent="0.3">
      <c r="A108" s="23" t="s">
        <v>14</v>
      </c>
      <c r="B108" s="19">
        <v>3614</v>
      </c>
      <c r="C108" s="20">
        <v>6.17</v>
      </c>
      <c r="D108" s="21">
        <v>30228</v>
      </c>
      <c r="E108" s="22">
        <v>6.23</v>
      </c>
      <c r="F108" s="19">
        <v>13390</v>
      </c>
      <c r="G108" s="20">
        <v>13.28</v>
      </c>
      <c r="H108" s="21">
        <v>176222</v>
      </c>
      <c r="I108" s="22">
        <v>12.37</v>
      </c>
    </row>
    <row r="109" spans="1:9" ht="15.75" customHeight="1" thickBot="1" x14ac:dyDescent="0.3">
      <c r="A109" s="24" t="s">
        <v>15</v>
      </c>
      <c r="B109" s="25">
        <v>3620</v>
      </c>
      <c r="C109" s="26">
        <v>7.13</v>
      </c>
      <c r="D109" s="27">
        <v>26876</v>
      </c>
      <c r="E109" s="28">
        <v>6.71</v>
      </c>
      <c r="F109" s="25">
        <v>13328</v>
      </c>
      <c r="G109" s="26">
        <v>13.3</v>
      </c>
      <c r="H109" s="27">
        <v>177916</v>
      </c>
      <c r="I109" s="28">
        <v>13.17</v>
      </c>
    </row>
    <row r="110" spans="1:9" ht="15.75" customHeight="1" thickTop="1" thickBot="1" x14ac:dyDescent="0.3">
      <c r="A110" s="9" t="s">
        <v>10</v>
      </c>
      <c r="B110" s="10">
        <f>AVERAGE((B105-$C$12)/$C$12,(B106-$C$12)/$C$12,(B107-$C$12)/$C$12,(B108-$C$12)/$C$12,(B109-$C$12)/$C$12)</f>
        <v>2.2586109542631284E-2</v>
      </c>
      <c r="C110" s="11">
        <f>AVERAGE(C105:C109)</f>
        <v>7.0508000000000006</v>
      </c>
      <c r="D110" s="10">
        <f>AVERAGE((D105-$E$12)/$E$12,(D106-$E$12)/$E$12,(D107-$E$12)/$E$12,(D108-$E$12)/$E$12,(D109-$E$12)/$E$12)</f>
        <v>0.11244232772734038</v>
      </c>
      <c r="E110" s="11">
        <f>AVERAGE(E105:E109)</f>
        <v>6.4359999999999999</v>
      </c>
      <c r="F110" s="10">
        <f>AVERAGE((F105-$G$12)/$G$12,(F106-$G$12)/$G$12,(F107-$G$12)/$G$12,(F108-$G$12)/$G$12,(F109-$G$12)/$G$12)</f>
        <v>5.4167920553716527E-3</v>
      </c>
      <c r="G110" s="11">
        <f>AVERAGE(G105:G109)</f>
        <v>13.327999999999999</v>
      </c>
      <c r="H110" s="10">
        <f>AVERAGE((H105-$I$12)/$I$12,(H106-$I$12)/$I$12,(H107-$I$12)/$I$12,(H108-$I$12)/$I$12,(H109-$I$12)/$I$12)</f>
        <v>0.17097682823129251</v>
      </c>
      <c r="I110" s="11">
        <f>AVERAGE(I105:I109)</f>
        <v>13.315999999999999</v>
      </c>
    </row>
    <row r="111" spans="1:9" ht="15.75" customHeight="1" thickBot="1" x14ac:dyDescent="0.3">
      <c r="A111" s="23" t="s">
        <v>16</v>
      </c>
      <c r="B111" s="29">
        <f>STDEV((B105-$C$12)/$C$12,(B106-$C$12)/$C$12,(B107-$C$12)/$C$12,(B108-$C$12)/$C$12,(B109-$C$12)/$C$12)</f>
        <v>3.411362499603211E-3</v>
      </c>
      <c r="C111" s="29">
        <f>STDEV(C105:C109)</f>
        <v>0.54966644430963763</v>
      </c>
      <c r="D111" s="29">
        <f>STDEV((D105-$E$12)/$E$12,(D106-$E$12)/$E$12,(D107-$E$12)/$E$12,(D108-$E$12)/$E$12,(D109-$E$12)/$E$12)</f>
        <v>6.3583008181674672E-2</v>
      </c>
      <c r="E111" s="29">
        <f>STDEV(E105:E109)</f>
        <v>0.24995999679948777</v>
      </c>
      <c r="F111" s="29">
        <f>STDEV((F105-$G$12)/$G$12,(F106-$G$12)/$G$12,(F107-$G$12)/$G$12,(F108-$G$12)/$G$12,(F109-$G$12)/$G$12)</f>
        <v>1.7514966486341884E-3</v>
      </c>
      <c r="G111" s="29">
        <f>STDEV(G105:G109)</f>
        <v>0.20265734627691198</v>
      </c>
      <c r="H111" s="29">
        <f>STDEV((H105-$I$12)/$I$12,(H106-$I$12)/$I$12,(H107-$I$12)/$I$12,(H108-$I$12)/$I$12,(H109-$I$12)/$I$12)</f>
        <v>7.7062109191729433E-3</v>
      </c>
      <c r="I111" s="29">
        <f>STDEV(I105:I109)</f>
        <v>1.7979516122521206</v>
      </c>
    </row>
    <row r="112" spans="1:9" ht="15.75" customHeight="1" x14ac:dyDescent="0.25"/>
    <row r="113" spans="1:11" ht="15.75" customHeight="1" x14ac:dyDescent="0.25"/>
    <row r="114" spans="1:11" ht="15.75" customHeight="1" x14ac:dyDescent="0.25"/>
    <row r="115" spans="1:11" ht="15.75" customHeight="1" x14ac:dyDescent="0.25"/>
    <row r="116" spans="1:11" ht="15.75" customHeight="1" x14ac:dyDescent="0.25"/>
    <row r="117" spans="1:11" ht="15.75" customHeight="1" thickBot="1" x14ac:dyDescent="0.3"/>
    <row r="118" spans="1:11" ht="15.75" customHeight="1" thickTop="1" thickBot="1" x14ac:dyDescent="0.3">
      <c r="A118" s="57" t="s">
        <v>32</v>
      </c>
      <c r="B118" s="58" t="s">
        <v>0</v>
      </c>
      <c r="C118" s="59"/>
      <c r="D118" s="60" t="s">
        <v>1</v>
      </c>
      <c r="E118" s="59"/>
      <c r="F118" s="60" t="s">
        <v>2</v>
      </c>
      <c r="G118" s="59"/>
      <c r="H118" s="60" t="s">
        <v>3</v>
      </c>
      <c r="I118" s="61"/>
      <c r="J118" s="55" t="s">
        <v>19</v>
      </c>
      <c r="K118" s="56"/>
    </row>
    <row r="119" spans="1:11" ht="15.75" customHeight="1" thickBot="1" x14ac:dyDescent="0.3">
      <c r="A119" s="57"/>
      <c r="B119" s="15" t="s">
        <v>10</v>
      </c>
      <c r="C119" s="16" t="s">
        <v>8</v>
      </c>
      <c r="D119" s="15" t="s">
        <v>10</v>
      </c>
      <c r="E119" s="17" t="s">
        <v>8</v>
      </c>
      <c r="F119" s="15" t="s">
        <v>10</v>
      </c>
      <c r="G119" s="16" t="s">
        <v>8</v>
      </c>
      <c r="H119" s="15" t="s">
        <v>10</v>
      </c>
      <c r="I119" s="17" t="s">
        <v>8</v>
      </c>
      <c r="J119" s="31" t="s">
        <v>10</v>
      </c>
      <c r="K119" s="32" t="s">
        <v>8</v>
      </c>
    </row>
    <row r="120" spans="1:11" ht="15.75" customHeight="1" thickTop="1" thickBot="1" x14ac:dyDescent="0.3">
      <c r="A120" s="53" t="s">
        <v>20</v>
      </c>
      <c r="B120" s="48">
        <f>B83</f>
        <v>2.2586109542631284E-2</v>
      </c>
      <c r="C120" s="29">
        <f>C83</f>
        <v>4.0960000000000001</v>
      </c>
      <c r="D120" s="42">
        <f>D83</f>
        <v>0.14860842387260009</v>
      </c>
      <c r="E120" s="29">
        <f>E83</f>
        <v>4.1059999999999999</v>
      </c>
      <c r="F120" s="42">
        <f>F83</f>
        <v>4.5139933794763774E-3</v>
      </c>
      <c r="G120" s="29">
        <f>G83</f>
        <v>8.24</v>
      </c>
      <c r="H120" s="42">
        <f>H83</f>
        <v>0.17082004676870749</v>
      </c>
      <c r="I120" s="29">
        <f>I83</f>
        <v>8.3899999999999988</v>
      </c>
      <c r="J120" s="44">
        <f>AVERAGE(B119,D120,F120,H120)</f>
        <v>0.10798082134026132</v>
      </c>
      <c r="K120" s="34">
        <f t="shared" ref="K120:K122" si="4">AVERAGE(C120,E120,G120,I120)</f>
        <v>6.2080000000000002</v>
      </c>
    </row>
    <row r="121" spans="1:11" ht="15.75" customHeight="1" thickTop="1" thickBot="1" x14ac:dyDescent="0.3">
      <c r="A121" s="52" t="s">
        <v>21</v>
      </c>
      <c r="B121" s="48">
        <f>B96</f>
        <v>2.2755505364201019E-2</v>
      </c>
      <c r="C121" s="29">
        <f>C96</f>
        <v>5.3834</v>
      </c>
      <c r="D121" s="42">
        <f>D96</f>
        <v>0.11244232772734038</v>
      </c>
      <c r="E121" s="29">
        <f>E96</f>
        <v>5.0078000000000005</v>
      </c>
      <c r="F121" s="42">
        <f>F96</f>
        <v>5.4167920553716527E-3</v>
      </c>
      <c r="G121" s="29">
        <f>G96</f>
        <v>10.298</v>
      </c>
      <c r="H121" s="42">
        <f>H96</f>
        <v>0.16619897959183674</v>
      </c>
      <c r="I121" s="29">
        <f>I96</f>
        <v>10.116</v>
      </c>
      <c r="J121" s="44">
        <f t="shared" ref="J121:J122" si="5">AVERAGE(B121,D121,F121,H121)</f>
        <v>7.670340118468745E-2</v>
      </c>
      <c r="K121" s="34">
        <f t="shared" si="4"/>
        <v>7.7012999999999998</v>
      </c>
    </row>
    <row r="122" spans="1:11" ht="15.75" customHeight="1" thickTop="1" thickBot="1" x14ac:dyDescent="0.3">
      <c r="A122" s="52" t="s">
        <v>22</v>
      </c>
      <c r="B122" s="49">
        <f>B110</f>
        <v>2.2586109542631284E-2</v>
      </c>
      <c r="C122" s="35">
        <f>C110</f>
        <v>7.0508000000000006</v>
      </c>
      <c r="D122" s="43">
        <f>D110</f>
        <v>0.11244232772734038</v>
      </c>
      <c r="E122" s="35">
        <f>E110</f>
        <v>6.4359999999999999</v>
      </c>
      <c r="F122" s="43">
        <f>F110</f>
        <v>5.4167920553716527E-3</v>
      </c>
      <c r="G122" s="35">
        <f>G110</f>
        <v>13.327999999999999</v>
      </c>
      <c r="H122" s="43">
        <f>H110</f>
        <v>0.17097682823129251</v>
      </c>
      <c r="I122" s="35">
        <f>I110</f>
        <v>13.315999999999999</v>
      </c>
      <c r="J122" s="44">
        <f t="shared" si="5"/>
        <v>7.7855514389158956E-2</v>
      </c>
      <c r="K122" s="34">
        <f t="shared" si="4"/>
        <v>10.032699999999998</v>
      </c>
    </row>
    <row r="123" spans="1:11" ht="15.75" customHeight="1" thickTop="1" x14ac:dyDescent="0.4">
      <c r="A123" s="30"/>
    </row>
    <row r="124" spans="1:11" ht="15.75" customHeight="1" x14ac:dyDescent="0.25"/>
    <row r="125" spans="1:11" ht="15.75" customHeight="1" thickBot="1" x14ac:dyDescent="0.3"/>
    <row r="126" spans="1:11" ht="15.75" customHeight="1" thickTop="1" thickBot="1" x14ac:dyDescent="0.3">
      <c r="A126" s="57" t="s">
        <v>32</v>
      </c>
      <c r="B126" s="58" t="s">
        <v>0</v>
      </c>
      <c r="C126" s="59"/>
      <c r="D126" s="60" t="s">
        <v>1</v>
      </c>
      <c r="E126" s="59"/>
      <c r="F126" s="60" t="s">
        <v>2</v>
      </c>
      <c r="G126" s="59"/>
      <c r="H126" s="60" t="s">
        <v>3</v>
      </c>
      <c r="I126" s="61"/>
      <c r="J126" s="55" t="s">
        <v>17</v>
      </c>
      <c r="K126" s="56"/>
    </row>
    <row r="127" spans="1:11" ht="15.75" customHeight="1" thickBot="1" x14ac:dyDescent="0.3">
      <c r="A127" s="57"/>
      <c r="B127" s="15" t="s">
        <v>18</v>
      </c>
      <c r="C127" s="16" t="s">
        <v>8</v>
      </c>
      <c r="D127" s="15" t="s">
        <v>18</v>
      </c>
      <c r="E127" s="17" t="s">
        <v>8</v>
      </c>
      <c r="F127" s="15" t="s">
        <v>18</v>
      </c>
      <c r="G127" s="16" t="s">
        <v>8</v>
      </c>
      <c r="H127" s="15" t="s">
        <v>18</v>
      </c>
      <c r="I127" s="17" t="s">
        <v>8</v>
      </c>
      <c r="J127" s="31" t="s">
        <v>18</v>
      </c>
      <c r="K127" s="32" t="s">
        <v>8</v>
      </c>
    </row>
    <row r="128" spans="1:11" ht="15.75" customHeight="1" thickTop="1" thickBot="1" x14ac:dyDescent="0.3">
      <c r="A128" s="53" t="s">
        <v>20</v>
      </c>
      <c r="B128" s="50">
        <f>B84</f>
        <v>2.7372557071803105E-3</v>
      </c>
      <c r="C128" s="50">
        <f>C84</f>
        <v>0.11696153213770753</v>
      </c>
      <c r="D128" s="50">
        <f>D84</f>
        <v>1.4730952540250294E-2</v>
      </c>
      <c r="E128" s="50">
        <f>E84</f>
        <v>0.14467204291085412</v>
      </c>
      <c r="F128" s="50">
        <f>F84</f>
        <v>1.4392963037698609E-3</v>
      </c>
      <c r="G128" s="50">
        <f>G84</f>
        <v>0.19659603251337499</v>
      </c>
      <c r="H128" s="50">
        <f>H84</f>
        <v>3.0983288722381615E-3</v>
      </c>
      <c r="I128" s="50">
        <f>I84</f>
        <v>0.16552945357246904</v>
      </c>
      <c r="J128" s="33">
        <f t="shared" ref="J128:J130" si="6">AVERAGE(B128,D128,F128,H128)</f>
        <v>5.5014583558596567E-3</v>
      </c>
      <c r="K128" s="34">
        <f t="shared" ref="K128:K130" si="7">AVERAGE(C128,E128,G128,I128)</f>
        <v>0.15593976528360143</v>
      </c>
    </row>
    <row r="129" spans="1:11" ht="15.75" customHeight="1" thickTop="1" thickBot="1" x14ac:dyDescent="0.3">
      <c r="A129" s="52" t="s">
        <v>21</v>
      </c>
      <c r="B129" s="50">
        <f>B97</f>
        <v>3.2900411365233691E-3</v>
      </c>
      <c r="C129" s="50">
        <f>C97</f>
        <v>0.45059715933414413</v>
      </c>
      <c r="D129" s="50">
        <f>D97</f>
        <v>6.3583008181674672E-2</v>
      </c>
      <c r="E129" s="50">
        <f>E97</f>
        <v>0.2228210043959051</v>
      </c>
      <c r="F129" s="50">
        <f>F97</f>
        <v>1.7514966486341884E-3</v>
      </c>
      <c r="G129" s="50">
        <f>G97</f>
        <v>0.24993999279827186</v>
      </c>
      <c r="H129" s="50">
        <f>H97</f>
        <v>5.8884774316903732E-3</v>
      </c>
      <c r="I129" s="50">
        <f>I97</f>
        <v>0.50137810083808032</v>
      </c>
      <c r="J129" s="33">
        <f t="shared" si="6"/>
        <v>1.862825584963065E-2</v>
      </c>
      <c r="K129" s="34">
        <f t="shared" si="7"/>
        <v>0.35618406434160033</v>
      </c>
    </row>
    <row r="130" spans="1:11" ht="15.75" customHeight="1" thickTop="1" thickBot="1" x14ac:dyDescent="0.3">
      <c r="A130" s="52" t="s">
        <v>22</v>
      </c>
      <c r="B130" s="51">
        <f>B111</f>
        <v>3.411362499603211E-3</v>
      </c>
      <c r="C130" s="51">
        <f>C111</f>
        <v>0.54966644430963763</v>
      </c>
      <c r="D130" s="51">
        <f>D111</f>
        <v>6.3583008181674672E-2</v>
      </c>
      <c r="E130" s="51">
        <f>E111</f>
        <v>0.24995999679948777</v>
      </c>
      <c r="F130" s="51">
        <f>F111</f>
        <v>1.7514966486341884E-3</v>
      </c>
      <c r="G130" s="51">
        <f>G111</f>
        <v>0.20265734627691198</v>
      </c>
      <c r="H130" s="51">
        <f>H111</f>
        <v>7.7062109191729433E-3</v>
      </c>
      <c r="I130" s="51">
        <f>I111</f>
        <v>1.7979516122521206</v>
      </c>
      <c r="J130" s="33">
        <f t="shared" si="6"/>
        <v>1.9113019562271252E-2</v>
      </c>
      <c r="K130" s="34">
        <f t="shared" si="7"/>
        <v>0.70005884990953948</v>
      </c>
    </row>
    <row r="131" spans="1:11" ht="15.75" customHeight="1" thickTop="1" x14ac:dyDescent="0.25"/>
    <row r="132" spans="1:11" ht="15.75" customHeight="1" x14ac:dyDescent="0.25"/>
    <row r="133" spans="1:11" ht="15.75" customHeight="1" x14ac:dyDescent="0.25">
      <c r="A133" s="81" t="s">
        <v>34</v>
      </c>
    </row>
    <row r="134" spans="1:11" ht="15.75" customHeight="1" x14ac:dyDescent="0.25"/>
    <row r="135" spans="1:11" ht="15.75" customHeight="1" x14ac:dyDescent="0.25"/>
    <row r="136" spans="1:11" ht="47.25" thickBot="1" x14ac:dyDescent="0.4">
      <c r="A136" s="46" t="s">
        <v>36</v>
      </c>
      <c r="B136" s="62" t="s">
        <v>0</v>
      </c>
      <c r="C136" s="63"/>
      <c r="D136" s="62" t="s">
        <v>1</v>
      </c>
      <c r="E136" s="63"/>
      <c r="F136" s="62" t="s">
        <v>2</v>
      </c>
      <c r="G136" s="63"/>
      <c r="H136" s="62" t="s">
        <v>3</v>
      </c>
      <c r="I136" s="63"/>
    </row>
    <row r="137" spans="1:11" ht="15.75" customHeight="1" x14ac:dyDescent="0.25">
      <c r="A137" s="64" t="s">
        <v>24</v>
      </c>
      <c r="B137" s="12" t="s">
        <v>5</v>
      </c>
      <c r="C137" s="13">
        <v>20</v>
      </c>
      <c r="D137" s="14" t="s">
        <v>5</v>
      </c>
      <c r="E137" s="13">
        <v>20</v>
      </c>
      <c r="F137" s="14" t="s">
        <v>5</v>
      </c>
      <c r="G137" s="13">
        <v>30</v>
      </c>
      <c r="H137" s="14" t="s">
        <v>5</v>
      </c>
      <c r="I137" s="13">
        <v>30</v>
      </c>
    </row>
    <row r="138" spans="1:11" ht="15.75" customHeight="1" x14ac:dyDescent="0.25">
      <c r="A138" s="72"/>
      <c r="B138" s="67" t="s">
        <v>6</v>
      </c>
      <c r="C138" s="69">
        <v>3542</v>
      </c>
      <c r="D138" s="67" t="s">
        <v>6</v>
      </c>
      <c r="E138" s="69">
        <v>26876</v>
      </c>
      <c r="F138" s="67" t="s">
        <v>6</v>
      </c>
      <c r="G138" s="69">
        <v>13292</v>
      </c>
      <c r="H138" s="67" t="s">
        <v>6</v>
      </c>
      <c r="I138" s="69">
        <v>150528</v>
      </c>
    </row>
    <row r="139" spans="1:11" ht="15.75" customHeight="1" thickBot="1" x14ac:dyDescent="0.3">
      <c r="A139" s="72"/>
      <c r="B139" s="68"/>
      <c r="C139" s="70"/>
      <c r="D139" s="68"/>
      <c r="E139" s="70"/>
      <c r="F139" s="68"/>
      <c r="G139" s="70"/>
      <c r="H139" s="68"/>
      <c r="I139" s="70"/>
    </row>
    <row r="140" spans="1:11" ht="15.75" customHeight="1" thickTop="1" thickBot="1" x14ac:dyDescent="0.3">
      <c r="A140" s="73"/>
      <c r="B140" s="15" t="s">
        <v>7</v>
      </c>
      <c r="C140" s="16" t="s">
        <v>8</v>
      </c>
      <c r="D140" s="15" t="s">
        <v>7</v>
      </c>
      <c r="E140" s="17" t="s">
        <v>8</v>
      </c>
      <c r="F140" s="15" t="s">
        <v>7</v>
      </c>
      <c r="G140" s="16" t="s">
        <v>8</v>
      </c>
      <c r="H140" s="15" t="s">
        <v>7</v>
      </c>
      <c r="I140" s="17" t="s">
        <v>8</v>
      </c>
    </row>
    <row r="141" spans="1:11" ht="15.75" customHeight="1" thickTop="1" thickBot="1" x14ac:dyDescent="0.3">
      <c r="A141" s="39" t="s">
        <v>11</v>
      </c>
      <c r="B141" s="19">
        <v>3606</v>
      </c>
      <c r="C141" s="20">
        <v>3.92</v>
      </c>
      <c r="D141" s="21">
        <v>30946</v>
      </c>
      <c r="E141" s="22">
        <v>4.24</v>
      </c>
      <c r="F141" s="19">
        <v>13376</v>
      </c>
      <c r="G141" s="20">
        <v>7.76</v>
      </c>
      <c r="H141" s="21">
        <v>174440</v>
      </c>
      <c r="I141" s="22">
        <v>7.87</v>
      </c>
    </row>
    <row r="142" spans="1:11" ht="15.75" customHeight="1" thickBot="1" x14ac:dyDescent="0.3">
      <c r="A142" s="23" t="s">
        <v>12</v>
      </c>
      <c r="B142" s="19">
        <v>3648</v>
      </c>
      <c r="C142" s="20">
        <v>4.07</v>
      </c>
      <c r="D142" s="21">
        <v>31232</v>
      </c>
      <c r="E142" s="22">
        <v>3.79</v>
      </c>
      <c r="F142" s="19">
        <v>13344</v>
      </c>
      <c r="G142" s="20">
        <v>7.94</v>
      </c>
      <c r="H142" s="21">
        <v>177536</v>
      </c>
      <c r="I142" s="22">
        <v>7.9180000000000001</v>
      </c>
      <c r="J142" s="47"/>
    </row>
    <row r="143" spans="1:11" ht="15.75" customHeight="1" thickBot="1" x14ac:dyDescent="0.3">
      <c r="A143" s="23" t="s">
        <v>13</v>
      </c>
      <c r="B143" s="19">
        <v>3644</v>
      </c>
      <c r="C143" s="20">
        <v>3.74</v>
      </c>
      <c r="D143" s="21">
        <v>31318</v>
      </c>
      <c r="E143" s="22">
        <v>3.75</v>
      </c>
      <c r="F143" s="19">
        <v>13396</v>
      </c>
      <c r="G143" s="20">
        <v>7.77</v>
      </c>
      <c r="H143" s="21">
        <v>174310</v>
      </c>
      <c r="I143" s="22">
        <v>7.64</v>
      </c>
    </row>
    <row r="144" spans="1:11" ht="15.75" customHeight="1" thickBot="1" x14ac:dyDescent="0.3">
      <c r="A144" s="23" t="s">
        <v>14</v>
      </c>
      <c r="B144" s="19">
        <v>3628</v>
      </c>
      <c r="C144" s="20">
        <v>3.82</v>
      </c>
      <c r="D144" s="21">
        <v>30712</v>
      </c>
      <c r="E144" s="22">
        <v>3.83</v>
      </c>
      <c r="F144" s="19">
        <v>13368</v>
      </c>
      <c r="G144" s="20">
        <v>7.97</v>
      </c>
      <c r="H144" s="21">
        <v>175292</v>
      </c>
      <c r="I144" s="22">
        <v>7.7670000000000003</v>
      </c>
    </row>
    <row r="145" spans="1:9" ht="15.75" customHeight="1" thickBot="1" x14ac:dyDescent="0.3">
      <c r="A145" s="24" t="s">
        <v>15</v>
      </c>
      <c r="B145" s="25">
        <v>3620</v>
      </c>
      <c r="C145" s="26">
        <v>4.18</v>
      </c>
      <c r="D145" s="27">
        <v>26876</v>
      </c>
      <c r="E145" s="28">
        <v>4.09</v>
      </c>
      <c r="F145" s="25">
        <v>13380</v>
      </c>
      <c r="G145" s="26">
        <v>7.85</v>
      </c>
      <c r="H145" s="27">
        <v>177736</v>
      </c>
      <c r="I145" s="28">
        <v>8.01</v>
      </c>
    </row>
    <row r="146" spans="1:9" ht="15.75" customHeight="1" thickTop="1" thickBot="1" x14ac:dyDescent="0.3">
      <c r="A146" s="9" t="s">
        <v>10</v>
      </c>
      <c r="B146" s="10">
        <f>AVERAGE((B141-$C$12)/$C$12,(B142-$C$12)/$C$12,(B143-$C$12)/$C$12,(B144-$C$12)/$C$12,(B145-$C$12)/$C$12)</f>
        <v>2.4618859401468095E-2</v>
      </c>
      <c r="C146" s="11">
        <f>AVERAGE(C141:C145)</f>
        <v>3.9460000000000002</v>
      </c>
      <c r="D146" s="10">
        <f>AVERAGE((D141-$E$12)/$E$12,(D142-$E$12)/$E$12,(D143-$E$12)/$E$12,(D144-$E$12)/$E$12,(D145-$E$12)/$E$12)</f>
        <v>0.12430421193630004</v>
      </c>
      <c r="E146" s="11">
        <f>AVERAGE(E141:E145)</f>
        <v>3.9400000000000004</v>
      </c>
      <c r="F146" s="10">
        <f>AVERAGE((F141-$G$12)/$G$12,(F142-$G$12)/$G$12,(F143-$G$12)/$G$12,(F144-$G$12)/$G$12,(F145-$G$12)/$G$12)</f>
        <v>6.0788444176948534E-3</v>
      </c>
      <c r="G146" s="11">
        <f>AVERAGE(G141:G145)</f>
        <v>7.8579999999999997</v>
      </c>
      <c r="H146" s="10">
        <f>AVERAGE((H141-$I$12)/$I$12,(H142-$I$12)/$I$12,(H143-$I$12)/$I$12,(H144-$I$12)/$I$12,(H145-$I$12)/$I$12)</f>
        <v>0.16830622874149662</v>
      </c>
      <c r="I146" s="11">
        <f>AVERAGE(I141:I145)</f>
        <v>7.8409999999999993</v>
      </c>
    </row>
    <row r="147" spans="1:9" ht="15.75" customHeight="1" thickBot="1" x14ac:dyDescent="0.3">
      <c r="A147" s="23" t="s">
        <v>16</v>
      </c>
      <c r="B147" s="29">
        <f>STDEV((B141-$C$12)/$C$12,(B142-$C$12)/$C$12,(B143-$C$12)/$C$12,(B144-$C$12)/$C$12,(B145-$C$12)/$C$12)</f>
        <v>4.8835117584279282E-3</v>
      </c>
      <c r="C147" s="29">
        <f>STDEV(C141:C145)</f>
        <v>0.17966635745180556</v>
      </c>
      <c r="D147" s="29">
        <f>STDEV((D141-$E$12)/$E$12,(D142-$E$12)/$E$12,(D143-$E$12)/$E$12,(D144-$E$12)/$E$12,(D145-$E$12)/$E$12)</f>
        <v>7.0058598705885128E-2</v>
      </c>
      <c r="E147" s="29">
        <f>STDEV(E141:E145)</f>
        <v>0.21400934559032703</v>
      </c>
      <c r="F147" s="29">
        <f>STDEV((F141-$G$12)/$G$12,(F142-$G$12)/$G$12,(F143-$G$12)/$G$12,(F144-$G$12)/$G$12,(F145-$G$12)/$G$12)</f>
        <v>1.4337802286574295E-3</v>
      </c>
      <c r="G147" s="29">
        <f>STDEV(G141:G145)</f>
        <v>9.5760116958993086E-2</v>
      </c>
      <c r="H147" s="29">
        <f>STDEV((H141-$I$12)/$I$12,(H142-$I$12)/$I$12,(H143-$I$12)/$I$12,(H144-$I$12)/$I$12,(H145-$I$12)/$I$12)</f>
        <v>1.1051553287157113E-2</v>
      </c>
      <c r="I147" s="29">
        <f>STDEV(I141:I145)</f>
        <v>0.14248508693894954</v>
      </c>
    </row>
    <row r="148" spans="1:9" ht="15.75" customHeight="1" x14ac:dyDescent="0.25">
      <c r="B148" s="38"/>
      <c r="C148" s="38"/>
      <c r="D148" s="38"/>
      <c r="E148" s="38"/>
      <c r="F148" s="38"/>
      <c r="G148" s="38"/>
      <c r="H148" s="38"/>
      <c r="I148" s="38"/>
    </row>
    <row r="149" spans="1:9" ht="47.25" thickBot="1" x14ac:dyDescent="0.4">
      <c r="A149" s="46" t="s">
        <v>37</v>
      </c>
      <c r="B149" s="62" t="s">
        <v>0</v>
      </c>
      <c r="C149" s="63"/>
      <c r="D149" s="62" t="s">
        <v>1</v>
      </c>
      <c r="E149" s="63"/>
      <c r="F149" s="62" t="s">
        <v>2</v>
      </c>
      <c r="G149" s="63"/>
      <c r="H149" s="62" t="s">
        <v>3</v>
      </c>
      <c r="I149" s="63"/>
    </row>
    <row r="150" spans="1:9" ht="15.75" customHeight="1" x14ac:dyDescent="0.25">
      <c r="A150" s="64" t="s">
        <v>24</v>
      </c>
      <c r="B150" s="12" t="s">
        <v>5</v>
      </c>
      <c r="C150" s="13">
        <v>20</v>
      </c>
      <c r="D150" s="14" t="s">
        <v>5</v>
      </c>
      <c r="E150" s="13">
        <v>20</v>
      </c>
      <c r="F150" s="14" t="s">
        <v>5</v>
      </c>
      <c r="G150" s="13">
        <v>30</v>
      </c>
      <c r="H150" s="14" t="s">
        <v>5</v>
      </c>
      <c r="I150" s="13">
        <v>30</v>
      </c>
    </row>
    <row r="151" spans="1:9" ht="15.75" customHeight="1" x14ac:dyDescent="0.25">
      <c r="A151" s="72"/>
      <c r="B151" s="67" t="s">
        <v>6</v>
      </c>
      <c r="C151" s="69">
        <v>3542</v>
      </c>
      <c r="D151" s="67" t="s">
        <v>6</v>
      </c>
      <c r="E151" s="69">
        <v>26876</v>
      </c>
      <c r="F151" s="67" t="s">
        <v>6</v>
      </c>
      <c r="G151" s="69">
        <v>13292</v>
      </c>
      <c r="H151" s="67" t="s">
        <v>6</v>
      </c>
      <c r="I151" s="69">
        <v>150528</v>
      </c>
    </row>
    <row r="152" spans="1:9" ht="15.75" customHeight="1" thickBot="1" x14ac:dyDescent="0.3">
      <c r="A152" s="72"/>
      <c r="B152" s="68"/>
      <c r="C152" s="70"/>
      <c r="D152" s="68"/>
      <c r="E152" s="70"/>
      <c r="F152" s="68"/>
      <c r="G152" s="70"/>
      <c r="H152" s="68"/>
      <c r="I152" s="70"/>
    </row>
    <row r="153" spans="1:9" ht="15.75" customHeight="1" thickTop="1" thickBot="1" x14ac:dyDescent="0.3">
      <c r="A153" s="73"/>
      <c r="B153" s="15" t="s">
        <v>7</v>
      </c>
      <c r="C153" s="16" t="s">
        <v>8</v>
      </c>
      <c r="D153" s="15" t="s">
        <v>7</v>
      </c>
      <c r="E153" s="17" t="s">
        <v>8</v>
      </c>
      <c r="F153" s="15" t="s">
        <v>7</v>
      </c>
      <c r="G153" s="16" t="s">
        <v>8</v>
      </c>
      <c r="H153" s="15" t="s">
        <v>7</v>
      </c>
      <c r="I153" s="17" t="s">
        <v>8</v>
      </c>
    </row>
    <row r="154" spans="1:9" ht="15.75" customHeight="1" thickTop="1" thickBot="1" x14ac:dyDescent="0.3">
      <c r="A154" s="39" t="s">
        <v>11</v>
      </c>
      <c r="B154" s="19">
        <v>3606</v>
      </c>
      <c r="C154" s="20">
        <v>4.41</v>
      </c>
      <c r="D154" s="21">
        <v>30946</v>
      </c>
      <c r="E154" s="22">
        <v>4.28</v>
      </c>
      <c r="F154" s="19">
        <v>13366</v>
      </c>
      <c r="G154" s="20">
        <v>9.0399999999999991</v>
      </c>
      <c r="H154" s="21">
        <v>173836</v>
      </c>
      <c r="I154" s="22">
        <v>8.41</v>
      </c>
    </row>
    <row r="155" spans="1:9" ht="15.75" customHeight="1" thickBot="1" x14ac:dyDescent="0.3">
      <c r="A155" s="23" t="s">
        <v>12</v>
      </c>
      <c r="B155" s="19">
        <v>3648</v>
      </c>
      <c r="C155" s="20">
        <v>4.7699999999999996</v>
      </c>
      <c r="D155" s="21">
        <v>30176</v>
      </c>
      <c r="E155" s="22">
        <v>4.6100000000000003</v>
      </c>
      <c r="F155" s="19">
        <v>13368</v>
      </c>
      <c r="G155" s="20">
        <v>8.69</v>
      </c>
      <c r="H155" s="21">
        <v>177812</v>
      </c>
      <c r="I155" s="22">
        <v>8.77</v>
      </c>
    </row>
    <row r="156" spans="1:9" ht="15.75" customHeight="1" thickBot="1" x14ac:dyDescent="0.3">
      <c r="A156" s="23" t="s">
        <v>13</v>
      </c>
      <c r="B156" s="19">
        <v>3634</v>
      </c>
      <c r="C156" s="20">
        <v>4.46</v>
      </c>
      <c r="D156" s="21">
        <v>30962</v>
      </c>
      <c r="E156" s="22">
        <v>4.28</v>
      </c>
      <c r="F156" s="19">
        <v>13358</v>
      </c>
      <c r="G156" s="20">
        <v>8.57</v>
      </c>
      <c r="H156" s="21">
        <v>174840</v>
      </c>
      <c r="I156" s="22">
        <v>8.9700000000000006</v>
      </c>
    </row>
    <row r="157" spans="1:9" ht="15.75" customHeight="1" thickBot="1" x14ac:dyDescent="0.3">
      <c r="A157" s="23" t="s">
        <v>14</v>
      </c>
      <c r="B157" s="19">
        <v>3628</v>
      </c>
      <c r="C157" s="20">
        <v>4.55</v>
      </c>
      <c r="D157" s="21">
        <v>30712</v>
      </c>
      <c r="E157" s="22">
        <v>4.43</v>
      </c>
      <c r="F157" s="19">
        <v>13366</v>
      </c>
      <c r="G157" s="20">
        <v>8.8800000000000008</v>
      </c>
      <c r="H157" s="21">
        <v>174810</v>
      </c>
      <c r="I157" s="22">
        <v>8.35</v>
      </c>
    </row>
    <row r="158" spans="1:9" ht="15.75" customHeight="1" thickBot="1" x14ac:dyDescent="0.3">
      <c r="A158" s="24" t="s">
        <v>15</v>
      </c>
      <c r="B158" s="25">
        <v>3620</v>
      </c>
      <c r="C158" s="26">
        <v>4.54</v>
      </c>
      <c r="D158" s="27">
        <v>26876</v>
      </c>
      <c r="E158" s="28">
        <v>4.2</v>
      </c>
      <c r="F158" s="25">
        <v>13370</v>
      </c>
      <c r="G158" s="26">
        <v>8.59</v>
      </c>
      <c r="H158" s="27">
        <v>175170</v>
      </c>
      <c r="I158" s="28">
        <v>8.8699999999999992</v>
      </c>
    </row>
    <row r="159" spans="1:9" ht="15.75" customHeight="1" thickTop="1" thickBot="1" x14ac:dyDescent="0.3">
      <c r="A159" s="9" t="s">
        <v>10</v>
      </c>
      <c r="B159" s="10">
        <f>AVERAGE((B154-$C$12)/$C$12,(B155-$C$12)/$C$12,(B156-$C$12)/$C$12,(B157-$C$12)/$C$12,(B158-$C$12)/$C$12)</f>
        <v>2.4054206662902314E-2</v>
      </c>
      <c r="C159" s="11">
        <f>AVERAGE(C154:C158)</f>
        <v>4.5460000000000003</v>
      </c>
      <c r="D159" s="10">
        <f>AVERAGE((D154-$E$12)/$E$12,(D155-$E$12)/$E$12,(D156-$E$12)/$E$12,(D157-$E$12)/$E$12,(D158-$E$12)/$E$12)</f>
        <v>0.11379669593689538</v>
      </c>
      <c r="E159" s="11">
        <f>AVERAGE(E154:E158)</f>
        <v>4.3600000000000003</v>
      </c>
      <c r="F159" s="10">
        <f>AVERAGE((F154-$G$12)/$G$12,(F155-$G$12)/$G$12,(F156-$G$12)/$G$12,(F157-$G$12)/$G$12,(F158-$G$12)/$G$12)</f>
        <v>5.5371652121576883E-3</v>
      </c>
      <c r="G159" s="11">
        <f>AVERAGE(G154:G158)</f>
        <v>8.7539999999999996</v>
      </c>
      <c r="H159" s="10">
        <f>AVERAGE((H154-$I$12)/$I$12,(H155-$I$12)/$I$12,(H156-$I$12)/$I$12,(H157-$I$12)/$I$12,(H158-$I$12)/$I$12)</f>
        <v>0.16452487244897956</v>
      </c>
      <c r="I159" s="11">
        <f>AVERAGE(I154:I158)</f>
        <v>8.6739999999999995</v>
      </c>
    </row>
    <row r="160" spans="1:9" ht="15.75" customHeight="1" thickBot="1" x14ac:dyDescent="0.3">
      <c r="A160" s="23" t="s">
        <v>16</v>
      </c>
      <c r="B160" s="29">
        <f>STDEV((B154-$C$12)/$C$12,(B155-$C$12)/$C$12,(B156-$C$12)/$C$12,(B157-$C$12)/$C$12,(B158-$C$12)/$C$12)</f>
        <v>4.420910023955592E-3</v>
      </c>
      <c r="C160" s="29">
        <f>STDEV(C154:C158)</f>
        <v>0.13794926603646701</v>
      </c>
      <c r="D160" s="29">
        <f>STDEV((D154-$E$12)/$E$12,(D155-$E$12)/$E$12,(D156-$E$12)/$E$12,(D157-$E$12)/$E$12,(D158-$E$12)/$E$12)</f>
        <v>6.4703646951352708E-2</v>
      </c>
      <c r="E160" s="29">
        <f>STDEV(E154:E158)</f>
        <v>0.16263455967290594</v>
      </c>
      <c r="F160" s="29">
        <f>STDEV((F154-$G$12)/$G$12,(F155-$G$12)/$G$12,(F156-$G$12)/$G$12,(F157-$G$12)/$G$12,(F158-$G$12)/$G$12)</f>
        <v>3.4311628802261154E-4</v>
      </c>
      <c r="G160" s="29">
        <f>STDEV(G154:G158)</f>
        <v>0.20156884679930062</v>
      </c>
      <c r="H160" s="29">
        <f>STDEV((H154-$I$12)/$I$12,(H155-$I$12)/$I$12,(H156-$I$12)/$I$12,(H157-$I$12)/$I$12,(H158-$I$12)/$I$12)</f>
        <v>9.9215565343891334E-3</v>
      </c>
      <c r="I160" s="29">
        <f>STDEV(I154:I158)</f>
        <v>0.27835229476330897</v>
      </c>
    </row>
    <row r="161" spans="1:9" ht="15.75" customHeight="1" x14ac:dyDescent="0.25">
      <c r="A161" s="37"/>
      <c r="B161" s="38"/>
      <c r="C161" s="38"/>
      <c r="D161" s="38"/>
      <c r="E161" s="38"/>
      <c r="F161" s="38"/>
      <c r="G161" s="38"/>
      <c r="H161" s="38"/>
      <c r="I161" s="38"/>
    </row>
    <row r="162" spans="1:9" ht="15.75" customHeight="1" x14ac:dyDescent="0.25">
      <c r="B162" s="38"/>
      <c r="C162" s="38"/>
      <c r="D162" s="38"/>
      <c r="E162" s="38"/>
      <c r="F162" s="38"/>
      <c r="G162" s="38"/>
      <c r="H162" s="38"/>
      <c r="I162" s="38"/>
    </row>
    <row r="163" spans="1:9" ht="47.25" thickBot="1" x14ac:dyDescent="0.4">
      <c r="A163" s="46" t="s">
        <v>38</v>
      </c>
      <c r="B163" s="62" t="s">
        <v>0</v>
      </c>
      <c r="C163" s="63"/>
      <c r="D163" s="62" t="s">
        <v>1</v>
      </c>
      <c r="E163" s="63"/>
      <c r="F163" s="62" t="s">
        <v>2</v>
      </c>
      <c r="G163" s="63"/>
      <c r="H163" s="62" t="s">
        <v>3</v>
      </c>
      <c r="I163" s="63"/>
    </row>
    <row r="164" spans="1:9" ht="15.75" customHeight="1" x14ac:dyDescent="0.25">
      <c r="A164" s="64" t="s">
        <v>24</v>
      </c>
      <c r="B164" s="12" t="s">
        <v>5</v>
      </c>
      <c r="C164" s="13">
        <v>20</v>
      </c>
      <c r="D164" s="14" t="s">
        <v>5</v>
      </c>
      <c r="E164" s="13">
        <v>20</v>
      </c>
      <c r="F164" s="14" t="s">
        <v>5</v>
      </c>
      <c r="G164" s="13">
        <v>30</v>
      </c>
      <c r="H164" s="14" t="s">
        <v>5</v>
      </c>
      <c r="I164" s="13">
        <v>30</v>
      </c>
    </row>
    <row r="165" spans="1:9" ht="15.75" customHeight="1" x14ac:dyDescent="0.25">
      <c r="A165" s="65"/>
      <c r="B165" s="67" t="s">
        <v>6</v>
      </c>
      <c r="C165" s="69">
        <v>3542</v>
      </c>
      <c r="D165" s="67" t="s">
        <v>6</v>
      </c>
      <c r="E165" s="69">
        <v>26876</v>
      </c>
      <c r="F165" s="67" t="s">
        <v>6</v>
      </c>
      <c r="G165" s="69">
        <v>13292</v>
      </c>
      <c r="H165" s="67" t="s">
        <v>6</v>
      </c>
      <c r="I165" s="69">
        <v>150528</v>
      </c>
    </row>
    <row r="166" spans="1:9" ht="15.75" customHeight="1" thickBot="1" x14ac:dyDescent="0.3">
      <c r="A166" s="65"/>
      <c r="B166" s="68"/>
      <c r="C166" s="70"/>
      <c r="D166" s="68"/>
      <c r="E166" s="70"/>
      <c r="F166" s="68"/>
      <c r="G166" s="70"/>
      <c r="H166" s="68"/>
      <c r="I166" s="70"/>
    </row>
    <row r="167" spans="1:9" ht="15.75" customHeight="1" thickTop="1" thickBot="1" x14ac:dyDescent="0.3">
      <c r="A167" s="66"/>
      <c r="B167" s="15" t="s">
        <v>7</v>
      </c>
      <c r="C167" s="16" t="s">
        <v>8</v>
      </c>
      <c r="D167" s="15" t="s">
        <v>7</v>
      </c>
      <c r="E167" s="17" t="s">
        <v>8</v>
      </c>
      <c r="F167" s="15" t="s">
        <v>7</v>
      </c>
      <c r="G167" s="16" t="s">
        <v>8</v>
      </c>
      <c r="H167" s="15" t="s">
        <v>7</v>
      </c>
      <c r="I167" s="17" t="s">
        <v>8</v>
      </c>
    </row>
    <row r="168" spans="1:9" ht="15.75" customHeight="1" thickTop="1" thickBot="1" x14ac:dyDescent="0.3">
      <c r="A168" s="18" t="s">
        <v>11</v>
      </c>
      <c r="B168" s="19">
        <v>3606</v>
      </c>
      <c r="C168" s="20">
        <v>5.2</v>
      </c>
      <c r="D168" s="21">
        <v>30946</v>
      </c>
      <c r="E168" s="22">
        <v>4.76</v>
      </c>
      <c r="F168" s="19">
        <v>13366</v>
      </c>
      <c r="G168" s="20">
        <v>9.7799999999999994</v>
      </c>
      <c r="H168" s="21">
        <v>173836</v>
      </c>
      <c r="I168" s="22">
        <v>9.15</v>
      </c>
    </row>
    <row r="169" spans="1:9" ht="15.75" customHeight="1" thickBot="1" x14ac:dyDescent="0.3">
      <c r="A169" s="23" t="s">
        <v>12</v>
      </c>
      <c r="B169" s="19">
        <v>3648</v>
      </c>
      <c r="C169" s="20">
        <v>5.67</v>
      </c>
      <c r="D169" s="21">
        <v>30176</v>
      </c>
      <c r="E169" s="22">
        <v>4.6100000000000003</v>
      </c>
      <c r="F169" s="19">
        <v>13368</v>
      </c>
      <c r="G169" s="20">
        <v>9.75</v>
      </c>
      <c r="H169" s="21">
        <v>177812</v>
      </c>
      <c r="I169" s="22">
        <v>8.9499999999999993</v>
      </c>
    </row>
    <row r="170" spans="1:9" ht="15.75" customHeight="1" thickBot="1" x14ac:dyDescent="0.3">
      <c r="A170" s="23" t="s">
        <v>13</v>
      </c>
      <c r="B170" s="19">
        <v>3634</v>
      </c>
      <c r="C170" s="20">
        <v>5.27</v>
      </c>
      <c r="D170" s="21">
        <v>30962</v>
      </c>
      <c r="E170" s="22">
        <v>4.8899999999999997</v>
      </c>
      <c r="F170" s="19">
        <v>13358</v>
      </c>
      <c r="G170" s="20">
        <v>9.6999999999999993</v>
      </c>
      <c r="H170" s="21">
        <v>174840</v>
      </c>
      <c r="I170" s="22">
        <v>9.34</v>
      </c>
    </row>
    <row r="171" spans="1:9" ht="15.75" customHeight="1" thickBot="1" x14ac:dyDescent="0.3">
      <c r="A171" s="23" t="s">
        <v>14</v>
      </c>
      <c r="B171" s="19">
        <v>3628</v>
      </c>
      <c r="C171" s="20">
        <v>5.8</v>
      </c>
      <c r="D171" s="21">
        <v>30712</v>
      </c>
      <c r="E171" s="22">
        <v>4.7300000000000004</v>
      </c>
      <c r="F171" s="19">
        <v>13366</v>
      </c>
      <c r="G171" s="20">
        <v>10.130000000000001</v>
      </c>
      <c r="H171" s="21">
        <v>174810</v>
      </c>
      <c r="I171" s="22">
        <v>9.1300000000000008</v>
      </c>
    </row>
    <row r="172" spans="1:9" ht="15.75" customHeight="1" thickBot="1" x14ac:dyDescent="0.3">
      <c r="A172" s="24" t="s">
        <v>15</v>
      </c>
      <c r="B172" s="25">
        <v>3620</v>
      </c>
      <c r="C172" s="26">
        <v>5.28</v>
      </c>
      <c r="D172" s="27">
        <v>26876</v>
      </c>
      <c r="E172" s="28">
        <v>4.84</v>
      </c>
      <c r="F172" s="25">
        <v>13370</v>
      </c>
      <c r="G172" s="26">
        <v>9.82</v>
      </c>
      <c r="H172" s="27">
        <v>175170</v>
      </c>
      <c r="I172" s="28">
        <v>10.42</v>
      </c>
    </row>
    <row r="173" spans="1:9" ht="15.75" customHeight="1" thickTop="1" thickBot="1" x14ac:dyDescent="0.3">
      <c r="A173" s="9" t="s">
        <v>10</v>
      </c>
      <c r="B173" s="10">
        <f>AVERAGE((B168-$C$12)/$C$12,(B169-$C$12)/$C$12,(B170-$C$12)/$C$12,(B171-$C$12)/$C$12,(B172-$C$12)/$C$12)</f>
        <v>2.4054206662902314E-2</v>
      </c>
      <c r="C173" s="11">
        <f>AVERAGE(C168:C172)</f>
        <v>5.4440000000000008</v>
      </c>
      <c r="D173" s="10">
        <f>AVERAGE((D168-$E$12)/$E$12,(D169-$E$12)/$E$12,(D170-$E$12)/$E$12,(D171-$E$12)/$E$12,(D172-$E$12)/$E$12)</f>
        <v>0.11379669593689538</v>
      </c>
      <c r="E173" s="11">
        <f>AVERAGE(E168:E172)</f>
        <v>4.766</v>
      </c>
      <c r="F173" s="10">
        <f>AVERAGE((F168-$G$12)/$G$12,(F169-$G$12)/$G$12,(F170-$G$12)/$G$12,(F171-$G$12)/$G$12,(F172-$G$12)/$G$12)</f>
        <v>5.5371652121576883E-3</v>
      </c>
      <c r="G173" s="11">
        <f>AVERAGE(G168:G172)</f>
        <v>9.8360000000000003</v>
      </c>
      <c r="H173" s="10">
        <f>AVERAGE((H168-$I$12)/$I$12,(H169-$I$12)/$I$12,(H170-$I$12)/$I$12,(H171-$I$12)/$I$12,(H172-$I$12)/$I$12)</f>
        <v>0.16452487244897956</v>
      </c>
      <c r="I173" s="11">
        <f>AVERAGE(I168:I172)</f>
        <v>9.3979999999999997</v>
      </c>
    </row>
    <row r="174" spans="1:9" ht="15.75" customHeight="1" thickBot="1" x14ac:dyDescent="0.3">
      <c r="A174" s="23" t="s">
        <v>16</v>
      </c>
      <c r="B174" s="29">
        <f>STDEV((B168-$C$12)/$C$12,(B169-$C$12)/$C$12,(B170-$C$12)/$C$12,(B171-$C$12)/$C$12,(B172-$C$12)/$C$12)</f>
        <v>4.420910023955592E-3</v>
      </c>
      <c r="C174" s="29">
        <f>STDEV(C168:C172)</f>
        <v>0.27134848442547077</v>
      </c>
      <c r="D174" s="29">
        <f>STDEV((D168-$E$12)/$E$12,(D169-$E$12)/$E$12,(D170-$E$12)/$E$12,(D171-$E$12)/$E$12,(D172-$E$12)/$E$12)</f>
        <v>6.4703646951352708E-2</v>
      </c>
      <c r="E174" s="29">
        <f>STDEV(E168:E172)</f>
        <v>0.10784247771634303</v>
      </c>
      <c r="F174" s="29">
        <f>STDEV((F168-$G$12)/$G$12,(F169-$G$12)/$G$12,(F170-$G$12)/$G$12,(F171-$G$12)/$G$12,(F172-$G$12)/$G$12)</f>
        <v>3.4311628802261154E-4</v>
      </c>
      <c r="G174" s="29">
        <f>STDEV(G168:G172)</f>
        <v>0.17008821240756275</v>
      </c>
      <c r="H174" s="29">
        <f>STDEV((H168-$I$12)/$I$12,(H169-$I$12)/$I$12,(H170-$I$12)/$I$12,(H171-$I$12)/$I$12,(H172-$I$12)/$I$12)</f>
        <v>9.9215565343891334E-3</v>
      </c>
      <c r="I174" s="29">
        <f>STDEV(I168:I172)</f>
        <v>0.5877669606230006</v>
      </c>
    </row>
    <row r="175" spans="1:9" ht="15.75" customHeight="1" x14ac:dyDescent="0.25"/>
    <row r="176" spans="1:9" ht="15.75" customHeight="1" x14ac:dyDescent="0.25"/>
    <row r="177" spans="1:11" ht="15.75" customHeight="1" x14ac:dyDescent="0.25"/>
    <row r="178" spans="1:11" ht="15.75" customHeight="1" x14ac:dyDescent="0.25"/>
    <row r="179" spans="1:11" ht="15.75" customHeight="1" x14ac:dyDescent="0.25"/>
    <row r="180" spans="1:11" ht="15.75" customHeight="1" thickBot="1" x14ac:dyDescent="0.3"/>
    <row r="181" spans="1:11" ht="15.75" customHeight="1" thickTop="1" thickBot="1" x14ac:dyDescent="0.3">
      <c r="A181" s="57" t="s">
        <v>35</v>
      </c>
      <c r="B181" s="58" t="s">
        <v>0</v>
      </c>
      <c r="C181" s="59"/>
      <c r="D181" s="60" t="s">
        <v>1</v>
      </c>
      <c r="E181" s="59"/>
      <c r="F181" s="60" t="s">
        <v>2</v>
      </c>
      <c r="G181" s="59"/>
      <c r="H181" s="60" t="s">
        <v>3</v>
      </c>
      <c r="I181" s="61"/>
      <c r="J181" s="55" t="s">
        <v>19</v>
      </c>
      <c r="K181" s="56"/>
    </row>
    <row r="182" spans="1:11" ht="15.75" customHeight="1" thickBot="1" x14ac:dyDescent="0.3">
      <c r="A182" s="57"/>
      <c r="B182" s="15" t="s">
        <v>10</v>
      </c>
      <c r="C182" s="16" t="s">
        <v>8</v>
      </c>
      <c r="D182" s="15" t="s">
        <v>10</v>
      </c>
      <c r="E182" s="17" t="s">
        <v>8</v>
      </c>
      <c r="F182" s="15" t="s">
        <v>10</v>
      </c>
      <c r="G182" s="16" t="s">
        <v>8</v>
      </c>
      <c r="H182" s="15" t="s">
        <v>10</v>
      </c>
      <c r="I182" s="17" t="s">
        <v>8</v>
      </c>
      <c r="J182" s="31" t="s">
        <v>10</v>
      </c>
      <c r="K182" s="32" t="s">
        <v>8</v>
      </c>
    </row>
    <row r="183" spans="1:11" ht="15.75" customHeight="1" thickTop="1" thickBot="1" x14ac:dyDescent="0.3">
      <c r="A183" s="53" t="s">
        <v>20</v>
      </c>
      <c r="B183" s="48">
        <f>B146</f>
        <v>2.4618859401468095E-2</v>
      </c>
      <c r="C183" s="29">
        <f>C146</f>
        <v>3.9460000000000002</v>
      </c>
      <c r="D183" s="42">
        <f>D146</f>
        <v>0.12430421193630004</v>
      </c>
      <c r="E183" s="29">
        <f>E146</f>
        <v>3.9400000000000004</v>
      </c>
      <c r="F183" s="42">
        <f>F146</f>
        <v>6.0788444176948534E-3</v>
      </c>
      <c r="G183" s="29">
        <f>G146</f>
        <v>7.8579999999999997</v>
      </c>
      <c r="H183" s="42">
        <f>H146</f>
        <v>0.16830622874149662</v>
      </c>
      <c r="I183" s="29">
        <f>I146</f>
        <v>7.8409999999999993</v>
      </c>
      <c r="J183" s="44">
        <f>AVERAGE(B182,D183,F183,H183)</f>
        <v>9.9563095031830515E-2</v>
      </c>
      <c r="K183" s="34">
        <f t="shared" ref="K183:K185" si="8">AVERAGE(C183,E183,G183,I183)</f>
        <v>5.8962500000000002</v>
      </c>
    </row>
    <row r="184" spans="1:11" ht="15.75" customHeight="1" thickTop="1" thickBot="1" x14ac:dyDescent="0.3">
      <c r="A184" s="52" t="s">
        <v>21</v>
      </c>
      <c r="B184" s="48">
        <f>B159</f>
        <v>2.4054206662902314E-2</v>
      </c>
      <c r="C184" s="29">
        <f>C159</f>
        <v>4.5460000000000003</v>
      </c>
      <c r="D184" s="42">
        <f>D159</f>
        <v>0.11379669593689538</v>
      </c>
      <c r="E184" s="29">
        <f>E159</f>
        <v>4.3600000000000003</v>
      </c>
      <c r="F184" s="42">
        <f>F159</f>
        <v>5.5371652121576883E-3</v>
      </c>
      <c r="G184" s="29">
        <f>G159</f>
        <v>8.7539999999999996</v>
      </c>
      <c r="H184" s="42">
        <f>H159</f>
        <v>0.16452487244897956</v>
      </c>
      <c r="I184" s="29">
        <f>I159</f>
        <v>8.6739999999999995</v>
      </c>
      <c r="J184" s="44">
        <f t="shared" ref="J184:J185" si="9">AVERAGE(B184,D184,F184,H184)</f>
        <v>7.6978235065233741E-2</v>
      </c>
      <c r="K184" s="34">
        <f t="shared" si="8"/>
        <v>6.5834999999999999</v>
      </c>
    </row>
    <row r="185" spans="1:11" ht="15.75" customHeight="1" thickTop="1" thickBot="1" x14ac:dyDescent="0.3">
      <c r="A185" s="52" t="s">
        <v>22</v>
      </c>
      <c r="B185" s="49">
        <f>B173</f>
        <v>2.4054206662902314E-2</v>
      </c>
      <c r="C185" s="35">
        <f>C173</f>
        <v>5.4440000000000008</v>
      </c>
      <c r="D185" s="43">
        <f>D173</f>
        <v>0.11379669593689538</v>
      </c>
      <c r="E185" s="35">
        <f>E173</f>
        <v>4.766</v>
      </c>
      <c r="F185" s="43">
        <f>F173</f>
        <v>5.5371652121576883E-3</v>
      </c>
      <c r="G185" s="35">
        <f>G173</f>
        <v>9.8360000000000003</v>
      </c>
      <c r="H185" s="43">
        <f>H173</f>
        <v>0.16452487244897956</v>
      </c>
      <c r="I185" s="35">
        <f>I173</f>
        <v>9.3979999999999997</v>
      </c>
      <c r="J185" s="44">
        <f t="shared" si="9"/>
        <v>7.6978235065233741E-2</v>
      </c>
      <c r="K185" s="34">
        <f t="shared" si="8"/>
        <v>7.3609999999999998</v>
      </c>
    </row>
    <row r="186" spans="1:11" ht="15.75" customHeight="1" thickTop="1" x14ac:dyDescent="0.4">
      <c r="A186" s="30"/>
    </row>
    <row r="187" spans="1:11" ht="15.75" customHeight="1" x14ac:dyDescent="0.25"/>
    <row r="188" spans="1:11" ht="15.75" customHeight="1" thickBot="1" x14ac:dyDescent="0.3"/>
    <row r="189" spans="1:11" ht="15.75" customHeight="1" thickTop="1" thickBot="1" x14ac:dyDescent="0.3">
      <c r="A189" s="57" t="s">
        <v>35</v>
      </c>
      <c r="B189" s="58" t="s">
        <v>0</v>
      </c>
      <c r="C189" s="59"/>
      <c r="D189" s="60" t="s">
        <v>1</v>
      </c>
      <c r="E189" s="59"/>
      <c r="F189" s="60" t="s">
        <v>2</v>
      </c>
      <c r="G189" s="59"/>
      <c r="H189" s="60" t="s">
        <v>3</v>
      </c>
      <c r="I189" s="61"/>
      <c r="J189" s="55" t="s">
        <v>17</v>
      </c>
      <c r="K189" s="56"/>
    </row>
    <row r="190" spans="1:11" ht="15.75" customHeight="1" thickBot="1" x14ac:dyDescent="0.3">
      <c r="A190" s="57"/>
      <c r="B190" s="15" t="s">
        <v>18</v>
      </c>
      <c r="C190" s="16" t="s">
        <v>8</v>
      </c>
      <c r="D190" s="15" t="s">
        <v>18</v>
      </c>
      <c r="E190" s="17" t="s">
        <v>8</v>
      </c>
      <c r="F190" s="15" t="s">
        <v>18</v>
      </c>
      <c r="G190" s="16" t="s">
        <v>8</v>
      </c>
      <c r="H190" s="15" t="s">
        <v>18</v>
      </c>
      <c r="I190" s="17" t="s">
        <v>8</v>
      </c>
      <c r="J190" s="31" t="s">
        <v>18</v>
      </c>
      <c r="K190" s="32" t="s">
        <v>8</v>
      </c>
    </row>
    <row r="191" spans="1:11" ht="15.75" customHeight="1" thickTop="1" thickBot="1" x14ac:dyDescent="0.3">
      <c r="A191" s="53" t="s">
        <v>20</v>
      </c>
      <c r="B191" s="50">
        <f>B147</f>
        <v>4.8835117584279282E-3</v>
      </c>
      <c r="C191" s="50">
        <f>C147</f>
        <v>0.17966635745180556</v>
      </c>
      <c r="D191" s="50">
        <f>D147</f>
        <v>7.0058598705885128E-2</v>
      </c>
      <c r="E191" s="50">
        <f>E147</f>
        <v>0.21400934559032703</v>
      </c>
      <c r="F191" s="50">
        <f>F147</f>
        <v>1.4337802286574295E-3</v>
      </c>
      <c r="G191" s="50">
        <f>G147</f>
        <v>9.5760116958993086E-2</v>
      </c>
      <c r="H191" s="50">
        <f>H147</f>
        <v>1.1051553287157113E-2</v>
      </c>
      <c r="I191" s="50">
        <f>I147</f>
        <v>0.14248508693894954</v>
      </c>
      <c r="J191" s="33">
        <f t="shared" ref="J191:J193" si="10">AVERAGE(B191,D191,F191,H191)</f>
        <v>2.1856860995031899E-2</v>
      </c>
      <c r="K191" s="34">
        <f t="shared" ref="K191:K193" si="11">AVERAGE(C191,E191,G191,I191)</f>
        <v>0.15798022673501882</v>
      </c>
    </row>
    <row r="192" spans="1:11" ht="15.75" customHeight="1" thickTop="1" thickBot="1" x14ac:dyDescent="0.3">
      <c r="A192" s="52" t="s">
        <v>21</v>
      </c>
      <c r="B192" s="50">
        <f>B160</f>
        <v>4.420910023955592E-3</v>
      </c>
      <c r="C192" s="50">
        <f>C160</f>
        <v>0.13794926603646701</v>
      </c>
      <c r="D192" s="50">
        <f>D160</f>
        <v>6.4703646951352708E-2</v>
      </c>
      <c r="E192" s="50">
        <f>E160</f>
        <v>0.16263455967290594</v>
      </c>
      <c r="F192" s="50">
        <f>F160</f>
        <v>3.4311628802261154E-4</v>
      </c>
      <c r="G192" s="50">
        <f>G160</f>
        <v>0.20156884679930062</v>
      </c>
      <c r="H192" s="50">
        <f>H160</f>
        <v>9.9215565343891334E-3</v>
      </c>
      <c r="I192" s="50">
        <f>I160</f>
        <v>0.27835229476330897</v>
      </c>
      <c r="J192" s="33">
        <f t="shared" si="10"/>
        <v>1.9847307449430009E-2</v>
      </c>
      <c r="K192" s="34">
        <f t="shared" si="11"/>
        <v>0.19512624181799565</v>
      </c>
    </row>
    <row r="193" spans="1:11" ht="15.75" customHeight="1" thickTop="1" thickBot="1" x14ac:dyDescent="0.3">
      <c r="A193" s="52" t="s">
        <v>22</v>
      </c>
      <c r="B193" s="51">
        <f>B174</f>
        <v>4.420910023955592E-3</v>
      </c>
      <c r="C193" s="51">
        <f>C174</f>
        <v>0.27134848442547077</v>
      </c>
      <c r="D193" s="51">
        <f>D174</f>
        <v>6.4703646951352708E-2</v>
      </c>
      <c r="E193" s="51">
        <f>E174</f>
        <v>0.10784247771634303</v>
      </c>
      <c r="F193" s="51">
        <f>F174</f>
        <v>3.4311628802261154E-4</v>
      </c>
      <c r="G193" s="51">
        <f>G174</f>
        <v>0.17008821240756275</v>
      </c>
      <c r="H193" s="51">
        <f>H174</f>
        <v>9.9215565343891334E-3</v>
      </c>
      <c r="I193" s="51">
        <f>I174</f>
        <v>0.5877669606230006</v>
      </c>
      <c r="J193" s="33">
        <f t="shared" si="10"/>
        <v>1.9847307449430009E-2</v>
      </c>
      <c r="K193" s="34">
        <f t="shared" si="11"/>
        <v>0.28426153379309427</v>
      </c>
    </row>
    <row r="194" spans="1:11" ht="15.75" customHeight="1" thickTop="1" x14ac:dyDescent="0.25"/>
    <row r="195" spans="1:11" ht="15.75" customHeight="1" x14ac:dyDescent="0.25"/>
    <row r="196" spans="1:11" ht="15.75" customHeight="1" x14ac:dyDescent="0.25"/>
    <row r="197" spans="1:11" ht="15.75" customHeight="1" x14ac:dyDescent="0.25"/>
    <row r="198" spans="1:11" ht="15.75" customHeight="1" x14ac:dyDescent="0.25"/>
    <row r="199" spans="1:11" ht="15.75" customHeight="1" x14ac:dyDescent="0.25"/>
    <row r="200" spans="1:11" ht="15.75" customHeight="1" x14ac:dyDescent="0.25"/>
    <row r="201" spans="1:11" ht="15.75" customHeight="1" x14ac:dyDescent="0.25"/>
    <row r="202" spans="1:11" ht="15.75" customHeight="1" x14ac:dyDescent="0.25"/>
    <row r="203" spans="1:11" ht="15.75" customHeight="1" x14ac:dyDescent="0.25"/>
    <row r="204" spans="1:11" ht="15.75" customHeight="1" x14ac:dyDescent="0.25"/>
    <row r="205" spans="1:11" ht="15.75" customHeight="1" x14ac:dyDescent="0.25"/>
    <row r="206" spans="1:11" ht="15.75" customHeight="1" x14ac:dyDescent="0.25"/>
    <row r="207" spans="1:11" ht="15.75" customHeight="1" x14ac:dyDescent="0.25"/>
    <row r="208" spans="1:1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</sheetData>
  <mergeCells count="166">
    <mergeCell ref="H151:H152"/>
    <mergeCell ref="I151:I152"/>
    <mergeCell ref="B163:C163"/>
    <mergeCell ref="D163:E163"/>
    <mergeCell ref="F163:G163"/>
    <mergeCell ref="H163:I163"/>
    <mergeCell ref="A164:A167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18:A119"/>
    <mergeCell ref="B118:C118"/>
    <mergeCell ref="D118:E118"/>
    <mergeCell ref="F118:G118"/>
    <mergeCell ref="H118:I118"/>
    <mergeCell ref="J118:K118"/>
    <mergeCell ref="A126:A127"/>
    <mergeCell ref="B126:C126"/>
    <mergeCell ref="D126:E126"/>
    <mergeCell ref="F126:G126"/>
    <mergeCell ref="H126:I126"/>
    <mergeCell ref="J126:K126"/>
    <mergeCell ref="A87:A90"/>
    <mergeCell ref="B88:B89"/>
    <mergeCell ref="C88:C89"/>
    <mergeCell ref="D88:D89"/>
    <mergeCell ref="E88:E89"/>
    <mergeCell ref="F88:F89"/>
    <mergeCell ref="G88:G89"/>
    <mergeCell ref="H88:H89"/>
    <mergeCell ref="I88:I89"/>
    <mergeCell ref="B73:C73"/>
    <mergeCell ref="D73:E73"/>
    <mergeCell ref="F73:G73"/>
    <mergeCell ref="H73:I73"/>
    <mergeCell ref="A74:A77"/>
    <mergeCell ref="B75:B76"/>
    <mergeCell ref="C75:C76"/>
    <mergeCell ref="D75:D76"/>
    <mergeCell ref="E75:E76"/>
    <mergeCell ref="F75:F76"/>
    <mergeCell ref="G75:G76"/>
    <mergeCell ref="H75:H76"/>
    <mergeCell ref="I75:I76"/>
    <mergeCell ref="B86:C86"/>
    <mergeCell ref="D86:E86"/>
    <mergeCell ref="F86:G86"/>
    <mergeCell ref="H86:I86"/>
    <mergeCell ref="B100:C100"/>
    <mergeCell ref="D100:E100"/>
    <mergeCell ref="F100:G100"/>
    <mergeCell ref="H100:I100"/>
    <mergeCell ref="A189:A190"/>
    <mergeCell ref="B189:C189"/>
    <mergeCell ref="D189:E189"/>
    <mergeCell ref="F189:G189"/>
    <mergeCell ref="H189:I189"/>
    <mergeCell ref="J189:K189"/>
    <mergeCell ref="A181:A182"/>
    <mergeCell ref="B181:C181"/>
    <mergeCell ref="D181:E181"/>
    <mergeCell ref="F181:G181"/>
    <mergeCell ref="H181:I181"/>
    <mergeCell ref="J181:K181"/>
    <mergeCell ref="B149:C149"/>
    <mergeCell ref="D149:E149"/>
    <mergeCell ref="F149:G149"/>
    <mergeCell ref="H149:I149"/>
    <mergeCell ref="A150:A153"/>
    <mergeCell ref="B151:B152"/>
    <mergeCell ref="C151:C152"/>
    <mergeCell ref="D151:D152"/>
    <mergeCell ref="E151:E152"/>
    <mergeCell ref="F151:F152"/>
    <mergeCell ref="G151:G152"/>
    <mergeCell ref="B136:C136"/>
    <mergeCell ref="D136:E136"/>
    <mergeCell ref="F136:G136"/>
    <mergeCell ref="H136:I136"/>
    <mergeCell ref="A137:A140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01:A104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H23:I23"/>
    <mergeCell ref="A24:A27"/>
    <mergeCell ref="B25:B26"/>
    <mergeCell ref="C25:C26"/>
    <mergeCell ref="D25:D26"/>
    <mergeCell ref="E25:E26"/>
    <mergeCell ref="F25:F26"/>
    <mergeCell ref="G25:G26"/>
    <mergeCell ref="H25:H26"/>
    <mergeCell ref="I25:I26"/>
    <mergeCell ref="B23:C23"/>
    <mergeCell ref="D23:E23"/>
    <mergeCell ref="F23:G23"/>
    <mergeCell ref="B1:C1"/>
    <mergeCell ref="D1:E1"/>
    <mergeCell ref="F1:G1"/>
    <mergeCell ref="H1:I1"/>
    <mergeCell ref="B3:B4"/>
    <mergeCell ref="C3:C4"/>
    <mergeCell ref="F3:F4"/>
    <mergeCell ref="G3:G4"/>
    <mergeCell ref="H3:H4"/>
    <mergeCell ref="I3:I4"/>
    <mergeCell ref="A2:A5"/>
    <mergeCell ref="H12:H13"/>
    <mergeCell ref="I12:I13"/>
    <mergeCell ref="B10:C10"/>
    <mergeCell ref="D10:E10"/>
    <mergeCell ref="F10:G10"/>
    <mergeCell ref="H10:I10"/>
    <mergeCell ref="A11:A14"/>
    <mergeCell ref="D3:D4"/>
    <mergeCell ref="E3:E4"/>
    <mergeCell ref="G12:G13"/>
    <mergeCell ref="B12:B13"/>
    <mergeCell ref="C12:C13"/>
    <mergeCell ref="D12:D13"/>
    <mergeCell ref="E12:E13"/>
    <mergeCell ref="F12:F13"/>
    <mergeCell ref="B37:C37"/>
    <mergeCell ref="F37:G37"/>
    <mergeCell ref="H37:I37"/>
    <mergeCell ref="A38:A41"/>
    <mergeCell ref="B39:B40"/>
    <mergeCell ref="C39:C40"/>
    <mergeCell ref="D39:D40"/>
    <mergeCell ref="E39:E40"/>
    <mergeCell ref="F39:F40"/>
    <mergeCell ref="G39:G40"/>
    <mergeCell ref="H39:H40"/>
    <mergeCell ref="I39:I40"/>
    <mergeCell ref="D37:E37"/>
    <mergeCell ref="J55:K55"/>
    <mergeCell ref="A55:A56"/>
    <mergeCell ref="B55:C55"/>
    <mergeCell ref="D55:E55"/>
    <mergeCell ref="F55:G55"/>
    <mergeCell ref="H55:I55"/>
    <mergeCell ref="H63:I63"/>
    <mergeCell ref="J63:K63"/>
    <mergeCell ref="A63:A64"/>
    <mergeCell ref="B63:C63"/>
    <mergeCell ref="D63:E63"/>
    <mergeCell ref="F63:G63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ocordon</dc:creator>
  <cp:lastModifiedBy>David Fernández Moreno</cp:lastModifiedBy>
  <dcterms:created xsi:type="dcterms:W3CDTF">2013-03-05T10:35:34Z</dcterms:created>
  <dcterms:modified xsi:type="dcterms:W3CDTF">2025-12-11T11:45:29Z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