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f05cc438dc355128/ANTIGUO/Documentos/PERSONAL/Universidad/Tercero/Primer_Cuatrimestre/Metaheuristicas/Practicas/practica2meta/material/"/>
    </mc:Choice>
  </mc:AlternateContent>
  <xr:revisionPtr revIDLastSave="109" documentId="13_ncr:1_{1EC32BA9-E4D7-4716-B5F6-9BC89E3DA072}" xr6:coauthVersionLast="47" xr6:coauthVersionMax="47" xr10:uidLastSave="{75ECA646-EF7F-410B-8AEF-C586F83144F7}"/>
  <bookViews>
    <workbookView xWindow="-108" yWindow="-108" windowWidth="23256" windowHeight="1257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aVikW6aFnQZD3+pFeBrbI5Ge3EQwVZF+YfUz69iVeCM="/>
    </ext>
  </extLst>
</workbook>
</file>

<file path=xl/calcChain.xml><?xml version="1.0" encoding="utf-8"?>
<calcChain xmlns="http://schemas.openxmlformats.org/spreadsheetml/2006/main">
  <c r="C221" i="1" l="1"/>
  <c r="D221" i="1"/>
  <c r="E221" i="1"/>
  <c r="F221" i="1"/>
  <c r="G221" i="1"/>
  <c r="H221" i="1"/>
  <c r="I221" i="1"/>
  <c r="J221" i="1"/>
  <c r="K221" i="1"/>
  <c r="B221" i="1"/>
  <c r="AA212" i="1"/>
  <c r="AA213" i="1"/>
  <c r="AA214" i="1"/>
  <c r="O212" i="1"/>
  <c r="O213" i="1"/>
  <c r="O214" i="1"/>
  <c r="P212" i="1"/>
  <c r="P213" i="1"/>
  <c r="P214" i="1"/>
  <c r="Z73" i="1"/>
  <c r="AA73" i="1"/>
  <c r="Z72" i="1"/>
  <c r="AA72" i="1"/>
  <c r="N191" i="1"/>
  <c r="N190" i="1"/>
  <c r="N130" i="1"/>
  <c r="N131" i="1"/>
  <c r="N132" i="1"/>
  <c r="N129" i="1"/>
  <c r="B69" i="1"/>
  <c r="C69" i="1"/>
  <c r="D69" i="1"/>
  <c r="N56" i="1"/>
  <c r="N57" i="1"/>
  <c r="N58" i="1"/>
  <c r="N55" i="1"/>
  <c r="O189" i="1"/>
  <c r="I184" i="1"/>
  <c r="I198" i="1" s="1"/>
  <c r="H184" i="1"/>
  <c r="H198" i="1" s="1"/>
  <c r="G184" i="1"/>
  <c r="G198" i="1" s="1"/>
  <c r="F184" i="1"/>
  <c r="F198" i="1" s="1"/>
  <c r="E184" i="1"/>
  <c r="E198" i="1" s="1"/>
  <c r="D184" i="1"/>
  <c r="D198" i="1" s="1"/>
  <c r="C184" i="1"/>
  <c r="C198" i="1" s="1"/>
  <c r="B184" i="1"/>
  <c r="B198" i="1" s="1"/>
  <c r="I183" i="1"/>
  <c r="I192" i="1" s="1"/>
  <c r="H183" i="1"/>
  <c r="H192" i="1" s="1"/>
  <c r="G183" i="1"/>
  <c r="G192" i="1" s="1"/>
  <c r="F183" i="1"/>
  <c r="F192" i="1" s="1"/>
  <c r="E183" i="1"/>
  <c r="E192" i="1" s="1"/>
  <c r="D183" i="1"/>
  <c r="D192" i="1" s="1"/>
  <c r="C183" i="1"/>
  <c r="C192" i="1" s="1"/>
  <c r="B183" i="1"/>
  <c r="B192" i="1" s="1"/>
  <c r="I171" i="1"/>
  <c r="I197" i="1" s="1"/>
  <c r="H171" i="1"/>
  <c r="H197" i="1" s="1"/>
  <c r="G171" i="1"/>
  <c r="G197" i="1" s="1"/>
  <c r="F171" i="1"/>
  <c r="F197" i="1" s="1"/>
  <c r="E171" i="1"/>
  <c r="E197" i="1" s="1"/>
  <c r="D171" i="1"/>
  <c r="D197" i="1" s="1"/>
  <c r="C171" i="1"/>
  <c r="C197" i="1" s="1"/>
  <c r="B171" i="1"/>
  <c r="B197" i="1" s="1"/>
  <c r="I170" i="1"/>
  <c r="I191" i="1" s="1"/>
  <c r="H170" i="1"/>
  <c r="H191" i="1" s="1"/>
  <c r="G170" i="1"/>
  <c r="G191" i="1" s="1"/>
  <c r="F170" i="1"/>
  <c r="F191" i="1" s="1"/>
  <c r="E170" i="1"/>
  <c r="E191" i="1" s="1"/>
  <c r="D170" i="1"/>
  <c r="D191" i="1" s="1"/>
  <c r="C170" i="1"/>
  <c r="C191" i="1" s="1"/>
  <c r="B170" i="1"/>
  <c r="B191" i="1" s="1"/>
  <c r="I135" i="1"/>
  <c r="I155" i="1" s="1"/>
  <c r="H135" i="1"/>
  <c r="H155" i="1" s="1"/>
  <c r="G135" i="1"/>
  <c r="G155" i="1" s="1"/>
  <c r="F135" i="1"/>
  <c r="F155" i="1" s="1"/>
  <c r="E135" i="1"/>
  <c r="E155" i="1" s="1"/>
  <c r="D135" i="1"/>
  <c r="D155" i="1" s="1"/>
  <c r="C135" i="1"/>
  <c r="C155" i="1" s="1"/>
  <c r="B135" i="1"/>
  <c r="B155" i="1" s="1"/>
  <c r="I134" i="1"/>
  <c r="I146" i="1" s="1"/>
  <c r="H134" i="1"/>
  <c r="H146" i="1" s="1"/>
  <c r="G134" i="1"/>
  <c r="G146" i="1" s="1"/>
  <c r="F134" i="1"/>
  <c r="F146" i="1" s="1"/>
  <c r="E134" i="1"/>
  <c r="E146" i="1" s="1"/>
  <c r="D134" i="1"/>
  <c r="D146" i="1" s="1"/>
  <c r="C134" i="1"/>
  <c r="C146" i="1" s="1"/>
  <c r="B134" i="1"/>
  <c r="B146" i="1" s="1"/>
  <c r="O128" i="1"/>
  <c r="I122" i="1"/>
  <c r="I154" i="1" s="1"/>
  <c r="H122" i="1"/>
  <c r="H154" i="1" s="1"/>
  <c r="G122" i="1"/>
  <c r="G154" i="1" s="1"/>
  <c r="F122" i="1"/>
  <c r="F154" i="1" s="1"/>
  <c r="E122" i="1"/>
  <c r="E154" i="1" s="1"/>
  <c r="D122" i="1"/>
  <c r="D154" i="1" s="1"/>
  <c r="C122" i="1"/>
  <c r="C154" i="1" s="1"/>
  <c r="B122" i="1"/>
  <c r="B154" i="1" s="1"/>
  <c r="I121" i="1"/>
  <c r="I145" i="1" s="1"/>
  <c r="H121" i="1"/>
  <c r="H145" i="1" s="1"/>
  <c r="G121" i="1"/>
  <c r="G145" i="1" s="1"/>
  <c r="F121" i="1"/>
  <c r="F145" i="1" s="1"/>
  <c r="E121" i="1"/>
  <c r="E145" i="1" s="1"/>
  <c r="D121" i="1"/>
  <c r="D145" i="1" s="1"/>
  <c r="C121" i="1"/>
  <c r="C145" i="1" s="1"/>
  <c r="B121" i="1"/>
  <c r="B145" i="1" s="1"/>
  <c r="I108" i="1"/>
  <c r="I153" i="1" s="1"/>
  <c r="H108" i="1"/>
  <c r="H153" i="1" s="1"/>
  <c r="G108" i="1"/>
  <c r="G153" i="1" s="1"/>
  <c r="F108" i="1"/>
  <c r="F153" i="1" s="1"/>
  <c r="E108" i="1"/>
  <c r="E153" i="1" s="1"/>
  <c r="D108" i="1"/>
  <c r="D153" i="1" s="1"/>
  <c r="C108" i="1"/>
  <c r="C153" i="1" s="1"/>
  <c r="B108" i="1"/>
  <c r="B153" i="1" s="1"/>
  <c r="I107" i="1"/>
  <c r="I144" i="1" s="1"/>
  <c r="H107" i="1"/>
  <c r="H144" i="1" s="1"/>
  <c r="G107" i="1"/>
  <c r="G144" i="1" s="1"/>
  <c r="F107" i="1"/>
  <c r="F144" i="1" s="1"/>
  <c r="E107" i="1"/>
  <c r="E144" i="1" s="1"/>
  <c r="D107" i="1"/>
  <c r="D144" i="1" s="1"/>
  <c r="C107" i="1"/>
  <c r="C144" i="1" s="1"/>
  <c r="B107" i="1"/>
  <c r="B144" i="1" s="1"/>
  <c r="I95" i="1"/>
  <c r="I152" i="1" s="1"/>
  <c r="H95" i="1"/>
  <c r="H152" i="1" s="1"/>
  <c r="G95" i="1"/>
  <c r="G152" i="1" s="1"/>
  <c r="F95" i="1"/>
  <c r="F152" i="1" s="1"/>
  <c r="E95" i="1"/>
  <c r="E152" i="1" s="1"/>
  <c r="D95" i="1"/>
  <c r="D152" i="1" s="1"/>
  <c r="C95" i="1"/>
  <c r="C152" i="1" s="1"/>
  <c r="B95" i="1"/>
  <c r="B152" i="1" s="1"/>
  <c r="I94" i="1"/>
  <c r="I143" i="1" s="1"/>
  <c r="H94" i="1"/>
  <c r="H143" i="1" s="1"/>
  <c r="G94" i="1"/>
  <c r="G143" i="1" s="1"/>
  <c r="F94" i="1"/>
  <c r="F143" i="1" s="1"/>
  <c r="E94" i="1"/>
  <c r="E143" i="1" s="1"/>
  <c r="D94" i="1"/>
  <c r="D143" i="1" s="1"/>
  <c r="C94" i="1"/>
  <c r="C143" i="1" s="1"/>
  <c r="B94" i="1"/>
  <c r="B143" i="1" s="1"/>
  <c r="C60" i="1"/>
  <c r="C72" i="1" s="1"/>
  <c r="I61" i="1"/>
  <c r="I81" i="1" s="1"/>
  <c r="H61" i="1"/>
  <c r="H81" i="1" s="1"/>
  <c r="G61" i="1"/>
  <c r="G81" i="1" s="1"/>
  <c r="F61" i="1"/>
  <c r="F81" i="1" s="1"/>
  <c r="E61" i="1"/>
  <c r="E81" i="1" s="1"/>
  <c r="D61" i="1"/>
  <c r="D81" i="1" s="1"/>
  <c r="C61" i="1"/>
  <c r="C81" i="1" s="1"/>
  <c r="B61" i="1"/>
  <c r="B81" i="1" s="1"/>
  <c r="I60" i="1"/>
  <c r="I72" i="1" s="1"/>
  <c r="H60" i="1"/>
  <c r="H72" i="1" s="1"/>
  <c r="G60" i="1"/>
  <c r="G72" i="1" s="1"/>
  <c r="F60" i="1"/>
  <c r="F72" i="1" s="1"/>
  <c r="E60" i="1"/>
  <c r="E72" i="1" s="1"/>
  <c r="D60" i="1"/>
  <c r="D72" i="1" s="1"/>
  <c r="B60" i="1"/>
  <c r="B72" i="1" s="1"/>
  <c r="I34" i="1"/>
  <c r="I79" i="1" s="1"/>
  <c r="H34" i="1"/>
  <c r="H79" i="1" s="1"/>
  <c r="G34" i="1"/>
  <c r="G79" i="1" s="1"/>
  <c r="F34" i="1"/>
  <c r="F79" i="1" s="1"/>
  <c r="E34" i="1"/>
  <c r="E79" i="1" s="1"/>
  <c r="D34" i="1"/>
  <c r="D79" i="1" s="1"/>
  <c r="C34" i="1"/>
  <c r="C79" i="1" s="1"/>
  <c r="B34" i="1"/>
  <c r="B79" i="1" s="1"/>
  <c r="I33" i="1"/>
  <c r="I70" i="1" s="1"/>
  <c r="H33" i="1"/>
  <c r="H70" i="1" s="1"/>
  <c r="G33" i="1"/>
  <c r="G70" i="1" s="1"/>
  <c r="F33" i="1"/>
  <c r="F70" i="1" s="1"/>
  <c r="E33" i="1"/>
  <c r="E70" i="1" s="1"/>
  <c r="D33" i="1"/>
  <c r="D70" i="1" s="1"/>
  <c r="C33" i="1"/>
  <c r="C70" i="1" s="1"/>
  <c r="B33" i="1"/>
  <c r="B70" i="1" s="1"/>
  <c r="O54" i="1"/>
  <c r="C47" i="1"/>
  <c r="C71" i="1" s="1"/>
  <c r="I48" i="1"/>
  <c r="I80" i="1" s="1"/>
  <c r="H48" i="1"/>
  <c r="H80" i="1" s="1"/>
  <c r="G48" i="1"/>
  <c r="G80" i="1" s="1"/>
  <c r="F48" i="1"/>
  <c r="F80" i="1" s="1"/>
  <c r="E48" i="1"/>
  <c r="E80" i="1" s="1"/>
  <c r="D48" i="1"/>
  <c r="D80" i="1" s="1"/>
  <c r="C48" i="1"/>
  <c r="C80" i="1" s="1"/>
  <c r="B48" i="1"/>
  <c r="B80" i="1" s="1"/>
  <c r="I47" i="1"/>
  <c r="I71" i="1" s="1"/>
  <c r="H47" i="1"/>
  <c r="H71" i="1" s="1"/>
  <c r="G47" i="1"/>
  <c r="G71" i="1" s="1"/>
  <c r="F47" i="1"/>
  <c r="F71" i="1" s="1"/>
  <c r="E47" i="1"/>
  <c r="E71" i="1" s="1"/>
  <c r="D47" i="1"/>
  <c r="D71" i="1" s="1"/>
  <c r="B47" i="1"/>
  <c r="B71" i="1" s="1"/>
  <c r="G20" i="1"/>
  <c r="G69" i="1" s="1"/>
  <c r="B7" i="1"/>
  <c r="B20" i="1"/>
  <c r="C7" i="1"/>
  <c r="I21" i="1"/>
  <c r="I78" i="1" s="1"/>
  <c r="H21" i="1"/>
  <c r="H78" i="1" s="1"/>
  <c r="G21" i="1"/>
  <c r="G78" i="1" s="1"/>
  <c r="F21" i="1"/>
  <c r="F78" i="1" s="1"/>
  <c r="E21" i="1"/>
  <c r="E78" i="1" s="1"/>
  <c r="D21" i="1"/>
  <c r="D78" i="1" s="1"/>
  <c r="C21" i="1"/>
  <c r="C78" i="1" s="1"/>
  <c r="B21" i="1"/>
  <c r="B78" i="1" s="1"/>
  <c r="I20" i="1"/>
  <c r="I69" i="1" s="1"/>
  <c r="H20" i="1"/>
  <c r="F20" i="1"/>
  <c r="E20" i="1"/>
  <c r="E69" i="1" s="1"/>
  <c r="D20" i="1"/>
  <c r="C20" i="1"/>
  <c r="I7" i="1"/>
  <c r="H7" i="1"/>
  <c r="G7" i="1"/>
  <c r="F7" i="1"/>
  <c r="E7" i="1"/>
  <c r="D7" i="1"/>
  <c r="K192" i="1" l="1"/>
  <c r="J198" i="1"/>
  <c r="J191" i="1"/>
  <c r="O190" i="1" s="1"/>
  <c r="K197" i="1"/>
  <c r="K191" i="1"/>
  <c r="J197" i="1"/>
  <c r="K198" i="1"/>
  <c r="J192" i="1"/>
  <c r="O191" i="1" s="1"/>
  <c r="K155" i="1"/>
  <c r="K146" i="1"/>
  <c r="J146" i="1"/>
  <c r="O132" i="1" s="1"/>
  <c r="K145" i="1"/>
  <c r="K154" i="1"/>
  <c r="J145" i="1"/>
  <c r="O131" i="1" s="1"/>
  <c r="J154" i="1"/>
  <c r="J144" i="1"/>
  <c r="O130" i="1" s="1"/>
  <c r="K144" i="1"/>
  <c r="K143" i="1"/>
  <c r="J143" i="1"/>
  <c r="O129" i="1" s="1"/>
  <c r="K152" i="1"/>
  <c r="J152" i="1"/>
  <c r="K153" i="1"/>
  <c r="J153" i="1"/>
  <c r="J155" i="1"/>
  <c r="K69" i="1"/>
  <c r="F69" i="1"/>
  <c r="J69" i="1" s="1"/>
  <c r="O55" i="1" s="1"/>
  <c r="H69" i="1"/>
  <c r="K72" i="1"/>
  <c r="K70" i="1"/>
  <c r="J81" i="1"/>
  <c r="K71" i="1"/>
  <c r="K81" i="1"/>
  <c r="K80" i="1"/>
  <c r="J72" i="1"/>
  <c r="O58" i="1" s="1"/>
  <c r="J71" i="1"/>
  <c r="O57" i="1" s="1"/>
  <c r="J80" i="1"/>
  <c r="K78" i="1"/>
  <c r="J78" i="1"/>
  <c r="J79" i="1"/>
  <c r="K79" i="1"/>
  <c r="J70" i="1" l="1"/>
  <c r="O56" i="1" s="1"/>
</calcChain>
</file>

<file path=xl/sharedStrings.xml><?xml version="1.0" encoding="utf-8"?>
<sst xmlns="http://schemas.openxmlformats.org/spreadsheetml/2006/main" count="490" uniqueCount="47">
  <si>
    <t>FORD01</t>
  </si>
  <si>
    <t>FORD02</t>
  </si>
  <si>
    <t>FORD03</t>
  </si>
  <si>
    <t>FORD04</t>
  </si>
  <si>
    <t>GREEDY</t>
  </si>
  <si>
    <t>Tamaño</t>
  </si>
  <si>
    <t>Minimo global</t>
  </si>
  <si>
    <t>Sol</t>
  </si>
  <si>
    <t>Time</t>
  </si>
  <si>
    <t>Ejecución</t>
  </si>
  <si>
    <t>Media</t>
  </si>
  <si>
    <t>Ejecución 1</t>
  </si>
  <si>
    <t>Ejecución 2</t>
  </si>
  <si>
    <t>Ejecución 3</t>
  </si>
  <si>
    <t>Ejecución 4</t>
  </si>
  <si>
    <t>Ejecución 5</t>
  </si>
  <si>
    <t>Desv. típica</t>
  </si>
  <si>
    <t>MEDIA</t>
  </si>
  <si>
    <t>Desv</t>
  </si>
  <si>
    <t>.</t>
  </si>
  <si>
    <t>GENERACIONAL</t>
  </si>
  <si>
    <t>Gen: Cruce=OX2, M=100, E=1, kBest=2, kWorst=3.</t>
  </si>
  <si>
    <t>Gen: Cruce=OX2, M=100, E=1, kBest=3, kWorst=3</t>
  </si>
  <si>
    <t>Gen: Cruce=OX2, M=100, E=2, kBest=2, kWorst=3</t>
  </si>
  <si>
    <t>Gen: Cruce=OX2, M=100, E=2, kBest=3, kWorst=3</t>
  </si>
  <si>
    <t>MOC</t>
  </si>
  <si>
    <t>Gen: Cruce=MOC, M=100, E=1, kBest=2, kWorst=3.</t>
  </si>
  <si>
    <t>Gen: Cruce=MOC, M=100, E=1, kBest=3, kWorst=3</t>
  </si>
  <si>
    <t>Gen: Cruce=MOC, M=100, E=2, kBest=2, kWorst=3</t>
  </si>
  <si>
    <t>Gen: Cruce=MOC, M=100, E=2, kBest=3, kWorst=3</t>
  </si>
  <si>
    <t>ESTACIONARIO</t>
  </si>
  <si>
    <t>Est: Cruce=OX2, M=100, kBest=2, kWorst=2</t>
  </si>
  <si>
    <t>Est: Cruces=MOC, M=100, kBest=2, kWorst=2</t>
  </si>
  <si>
    <t>OX2</t>
  </si>
  <si>
    <t>Cruce=MOC, E=1, kBest=2, kWorst=3</t>
  </si>
  <si>
    <t>Cruce=MOC, E=1, kBest=3, kWorst=3</t>
  </si>
  <si>
    <t>Cruce=MOC, E=2, kBest=2, kWorst=3</t>
  </si>
  <si>
    <t>Cruce=MOC, E=2, kBest=3, kWorst=3</t>
  </si>
  <si>
    <t>Cruce=OX2, E=1, kBest=2, kWorst=3</t>
  </si>
  <si>
    <t>Cruce=OX2, E=1, kBest=3, kWorst=3</t>
  </si>
  <si>
    <t>Cruce=OX2, E=2, kBest=2, kWorst=3</t>
  </si>
  <si>
    <t>Cruce=OX2, E=2, kBest=3, kWorst=3</t>
  </si>
  <si>
    <t>Mejor gen vs mejor est</t>
  </si>
  <si>
    <t>Mejor algoritmo</t>
  </si>
  <si>
    <t>TABU</t>
  </si>
  <si>
    <t>Estacionario Cruce=MOC, E=1, kBest=3, kWorst=3</t>
  </si>
  <si>
    <t>Generacional Cruce=MOC, E=2, kBest=3, kWorst=3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</si>
</sst>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rgb="FF000000"/>
      <name val="Calibri"/>
      <scheme val="minor"/>
    </font>
    <font>
      <sz val="11"/>
      <color theme="1"/>
      <name val="Calibri"/>
      <family val="2"/>
    </font>
    <font>
      <b/>
      <sz val="18"/>
      <color theme="1"/>
      <name val="Calibri"/>
      <family val="2"/>
    </font>
    <font>
      <sz val="11"/>
      <name val="Calibri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b/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2"/>
      <color rgb="FF000000"/>
      <name val="Times New Roman"/>
      <family val="1"/>
    </font>
    <font>
      <b/>
      <sz val="20"/>
      <color rgb="FF980000"/>
      <name val="Calibri"/>
      <family val="2"/>
      <scheme val="minor"/>
    </font>
    <font>
      <b/>
      <sz val="12"/>
      <color rgb="FF000000"/>
      <name val="Times New Roman"/>
      <family val="1"/>
    </font>
    <font>
      <sz val="18"/>
      <color rgb="FF000000"/>
      <name val="Calibri"/>
      <family val="2"/>
    </font>
    <font>
      <u/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8"/>
      <name val="Calibri"/>
      <family val="2"/>
    </font>
    <font>
      <b/>
      <sz val="26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BACC6"/>
        <bgColor rgb="FF4BACC6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BBB59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7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/>
      <right style="double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ck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thick">
        <color rgb="FF000000"/>
      </bottom>
      <diagonal/>
    </border>
    <border>
      <left style="medium">
        <color indexed="64"/>
      </left>
      <right style="thick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double">
        <color rgb="FF000000"/>
      </bottom>
      <diagonal/>
    </border>
    <border>
      <left style="medium">
        <color indexed="64"/>
      </left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ouble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indexed="64"/>
      </right>
      <top style="double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double">
        <color rgb="FF000000"/>
      </left>
      <right style="medium">
        <color rgb="FF000000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0" borderId="0" xfId="0" applyFont="1"/>
    <xf numFmtId="0" fontId="5" fillId="3" borderId="3" xfId="0" applyFont="1" applyFill="1" applyBorder="1"/>
    <xf numFmtId="0" fontId="1" fillId="3" borderId="3" xfId="0" applyFont="1" applyFill="1" applyBorder="1" applyAlignment="1">
      <alignment horizontal="right"/>
    </xf>
    <xf numFmtId="0" fontId="6" fillId="0" borderId="9" xfId="0" applyFont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2" fontId="8" fillId="0" borderId="12" xfId="0" applyNumberFormat="1" applyFont="1" applyBorder="1" applyAlignment="1">
      <alignment horizontal="center" vertical="top" wrapText="1"/>
    </xf>
    <xf numFmtId="2" fontId="8" fillId="0" borderId="13" xfId="0" applyNumberFormat="1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10" fontId="10" fillId="0" borderId="15" xfId="0" applyNumberFormat="1" applyFont="1" applyBorder="1" applyAlignment="1">
      <alignment horizontal="center" vertical="top" wrapText="1"/>
    </xf>
    <xf numFmtId="2" fontId="10" fillId="0" borderId="15" xfId="0" applyNumberFormat="1" applyFont="1" applyBorder="1" applyAlignment="1">
      <alignment horizontal="center" vertical="top" wrapText="1"/>
    </xf>
    <xf numFmtId="0" fontId="12" fillId="3" borderId="17" xfId="0" applyFont="1" applyFill="1" applyBorder="1" applyAlignment="1">
      <alignment horizontal="left" vertical="center"/>
    </xf>
    <xf numFmtId="0" fontId="13" fillId="3" borderId="18" xfId="0" applyFont="1" applyFill="1" applyBorder="1" applyAlignment="1">
      <alignment horizontal="right" vertical="center"/>
    </xf>
    <xf numFmtId="0" fontId="12" fillId="3" borderId="18" xfId="0" applyFont="1" applyFill="1" applyBorder="1" applyAlignment="1">
      <alignment horizontal="left" vertical="center"/>
    </xf>
    <xf numFmtId="0" fontId="14" fillId="0" borderId="23" xfId="0" applyFont="1" applyBorder="1" applyAlignment="1">
      <alignment horizontal="center" vertical="top" wrapText="1"/>
    </xf>
    <xf numFmtId="0" fontId="9" fillId="0" borderId="10" xfId="0" applyFont="1" applyBorder="1" applyAlignment="1">
      <alignment horizontal="center" vertical="top" wrapText="1"/>
    </xf>
    <xf numFmtId="0" fontId="9" fillId="0" borderId="24" xfId="0" applyFont="1" applyBorder="1" applyAlignment="1">
      <alignment horizontal="center" vertical="top" wrapText="1"/>
    </xf>
    <xf numFmtId="0" fontId="9" fillId="0" borderId="25" xfId="0" applyFont="1" applyBorder="1" applyAlignment="1">
      <alignment horizontal="center" vertical="top" wrapText="1"/>
    </xf>
    <xf numFmtId="2" fontId="10" fillId="4" borderId="26" xfId="0" applyNumberFormat="1" applyFont="1" applyFill="1" applyBorder="1" applyAlignment="1">
      <alignment horizontal="center" vertical="top" wrapText="1"/>
    </xf>
    <xf numFmtId="2" fontId="10" fillId="4" borderId="27" xfId="0" applyNumberFormat="1" applyFont="1" applyFill="1" applyBorder="1" applyAlignment="1">
      <alignment horizontal="center" vertical="top" wrapText="1"/>
    </xf>
    <xf numFmtId="2" fontId="10" fillId="4" borderId="28" xfId="0" applyNumberFormat="1" applyFont="1" applyFill="1" applyBorder="1" applyAlignment="1">
      <alignment horizontal="center" vertical="top" wrapText="1"/>
    </xf>
    <xf numFmtId="2" fontId="10" fillId="4" borderId="29" xfId="0" applyNumberFormat="1" applyFont="1" applyFill="1" applyBorder="1" applyAlignment="1">
      <alignment horizontal="center" vertical="top" wrapText="1"/>
    </xf>
    <xf numFmtId="0" fontId="9" fillId="0" borderId="30" xfId="0" applyFont="1" applyBorder="1" applyAlignment="1">
      <alignment horizontal="center" vertical="top" wrapText="1"/>
    </xf>
    <xf numFmtId="0" fontId="9" fillId="0" borderId="31" xfId="0" applyFont="1" applyBorder="1" applyAlignment="1">
      <alignment horizontal="center" vertical="top" wrapText="1"/>
    </xf>
    <xf numFmtId="2" fontId="10" fillId="4" borderId="32" xfId="0" applyNumberFormat="1" applyFont="1" applyFill="1" applyBorder="1" applyAlignment="1">
      <alignment horizontal="center" vertical="top" wrapText="1"/>
    </xf>
    <xf numFmtId="2" fontId="10" fillId="4" borderId="33" xfId="0" applyNumberFormat="1" applyFont="1" applyFill="1" applyBorder="1" applyAlignment="1">
      <alignment horizontal="center" vertical="top" wrapText="1"/>
    </xf>
    <xf numFmtId="2" fontId="10" fillId="4" borderId="34" xfId="0" applyNumberFormat="1" applyFont="1" applyFill="1" applyBorder="1" applyAlignment="1">
      <alignment horizontal="center" vertical="top" wrapText="1"/>
    </xf>
    <xf numFmtId="2" fontId="10" fillId="4" borderId="35" xfId="0" applyNumberFormat="1" applyFont="1" applyFill="1" applyBorder="1" applyAlignment="1">
      <alignment horizontal="center" vertical="top" wrapText="1"/>
    </xf>
    <xf numFmtId="2" fontId="10" fillId="0" borderId="36" xfId="0" applyNumberFormat="1" applyFont="1" applyBorder="1" applyAlignment="1">
      <alignment horizontal="center" vertical="top" wrapText="1"/>
    </xf>
    <xf numFmtId="0" fontId="15" fillId="0" borderId="0" xfId="0" applyFont="1"/>
    <xf numFmtId="0" fontId="14" fillId="5" borderId="41" xfId="0" applyFont="1" applyFill="1" applyBorder="1" applyAlignment="1">
      <alignment horizontal="center" vertical="top" wrapText="1"/>
    </xf>
    <xf numFmtId="0" fontId="9" fillId="5" borderId="42" xfId="0" applyFont="1" applyFill="1" applyBorder="1" applyAlignment="1">
      <alignment horizontal="center" vertical="top" wrapText="1"/>
    </xf>
    <xf numFmtId="2" fontId="10" fillId="5" borderId="44" xfId="0" applyNumberFormat="1" applyFont="1" applyFill="1" applyBorder="1" applyAlignment="1">
      <alignment horizontal="center" vertical="top" wrapText="1"/>
    </xf>
    <xf numFmtId="2" fontId="10" fillId="5" borderId="45" xfId="0" applyNumberFormat="1" applyFont="1" applyFill="1" applyBorder="1" applyAlignment="1">
      <alignment horizontal="center" vertical="top" wrapText="1"/>
    </xf>
    <xf numFmtId="2" fontId="10" fillId="0" borderId="47" xfId="0" applyNumberFormat="1" applyFont="1" applyBorder="1" applyAlignment="1">
      <alignment horizontal="center" vertical="top" wrapText="1"/>
    </xf>
    <xf numFmtId="1" fontId="8" fillId="0" borderId="12" xfId="0" applyNumberFormat="1" applyFont="1" applyBorder="1" applyAlignment="1">
      <alignment horizontal="center" vertical="top" wrapText="1"/>
    </xf>
    <xf numFmtId="0" fontId="9" fillId="0" borderId="35" xfId="0" applyFont="1" applyBorder="1" applyAlignment="1">
      <alignment horizontal="center" vertical="top" wrapText="1"/>
    </xf>
    <xf numFmtId="2" fontId="10" fillId="0" borderId="35" xfId="0" applyNumberFormat="1" applyFont="1" applyBorder="1" applyAlignment="1">
      <alignment horizontal="center" vertical="top" wrapText="1"/>
    </xf>
    <xf numFmtId="0" fontId="16" fillId="0" borderId="25" xfId="0" applyFont="1" applyBorder="1" applyAlignment="1">
      <alignment horizontal="center" vertical="top" wrapText="1"/>
    </xf>
    <xf numFmtId="0" fontId="16" fillId="0" borderId="46" xfId="0" applyFont="1" applyBorder="1" applyAlignment="1">
      <alignment horizontal="center" vertical="top" wrapText="1"/>
    </xf>
    <xf numFmtId="0" fontId="18" fillId="0" borderId="1" xfId="0" applyFont="1" applyBorder="1"/>
    <xf numFmtId="10" fontId="0" fillId="0" borderId="0" xfId="0" applyNumberFormat="1"/>
    <xf numFmtId="10" fontId="10" fillId="0" borderId="36" xfId="0" applyNumberFormat="1" applyFont="1" applyBorder="1" applyAlignment="1">
      <alignment horizontal="center" vertical="top" wrapText="1"/>
    </xf>
    <xf numFmtId="10" fontId="10" fillId="0" borderId="47" xfId="0" applyNumberFormat="1" applyFont="1" applyBorder="1" applyAlignment="1">
      <alignment horizontal="center" vertical="top" wrapText="1"/>
    </xf>
    <xf numFmtId="10" fontId="10" fillId="5" borderId="44" xfId="0" applyNumberFormat="1" applyFont="1" applyFill="1" applyBorder="1" applyAlignment="1">
      <alignment horizontal="center" vertical="top" wrapText="1"/>
    </xf>
    <xf numFmtId="0" fontId="9" fillId="0" borderId="43" xfId="0" applyFont="1" applyBorder="1" applyAlignment="1">
      <alignment horizontal="center" vertical="top" wrapText="1"/>
    </xf>
    <xf numFmtId="0" fontId="1" fillId="0" borderId="35" xfId="0" applyFont="1" applyBorder="1"/>
    <xf numFmtId="0" fontId="19" fillId="0" borderId="0" xfId="0" applyFont="1" applyAlignment="1">
      <alignment wrapText="1"/>
    </xf>
    <xf numFmtId="2" fontId="10" fillId="6" borderId="35" xfId="0" applyNumberFormat="1" applyFont="1" applyFill="1" applyBorder="1" applyAlignment="1">
      <alignment horizontal="center" vertical="top" wrapText="1"/>
    </xf>
    <xf numFmtId="10" fontId="10" fillId="0" borderId="28" xfId="0" applyNumberFormat="1" applyFont="1" applyBorder="1" applyAlignment="1">
      <alignment horizontal="center" vertical="top" wrapText="1"/>
    </xf>
    <xf numFmtId="10" fontId="10" fillId="0" borderId="48" xfId="0" applyNumberFormat="1" applyFont="1" applyBorder="1" applyAlignment="1">
      <alignment horizontal="center" vertical="top" wrapText="1"/>
    </xf>
    <xf numFmtId="2" fontId="10" fillId="0" borderId="28" xfId="0" applyNumberFormat="1" applyFont="1" applyBorder="1" applyAlignment="1">
      <alignment horizontal="center" vertical="top" wrapText="1"/>
    </xf>
    <xf numFmtId="2" fontId="10" fillId="0" borderId="48" xfId="0" applyNumberFormat="1" applyFont="1" applyBorder="1" applyAlignment="1">
      <alignment horizontal="center" vertical="top" wrapText="1"/>
    </xf>
    <xf numFmtId="0" fontId="19" fillId="0" borderId="49" xfId="0" applyFont="1" applyBorder="1" applyAlignment="1">
      <alignment wrapText="1"/>
    </xf>
    <xf numFmtId="0" fontId="19" fillId="0" borderId="50" xfId="0" applyFont="1" applyBorder="1" applyAlignment="1">
      <alignment wrapText="1"/>
    </xf>
    <xf numFmtId="0" fontId="21" fillId="0" borderId="35" xfId="0" applyFont="1" applyBorder="1" applyAlignment="1">
      <alignment wrapText="1"/>
    </xf>
    <xf numFmtId="0" fontId="0" fillId="7" borderId="0" xfId="0" applyFill="1"/>
    <xf numFmtId="0" fontId="19" fillId="0" borderId="53" xfId="0" applyFont="1" applyBorder="1" applyAlignment="1">
      <alignment wrapText="1"/>
    </xf>
    <xf numFmtId="0" fontId="13" fillId="3" borderId="57" xfId="0" applyFont="1" applyFill="1" applyBorder="1" applyAlignment="1">
      <alignment horizontal="right" vertical="center"/>
    </xf>
    <xf numFmtId="0" fontId="14" fillId="0" borderId="41" xfId="0" applyFont="1" applyBorder="1" applyAlignment="1">
      <alignment horizontal="center" vertical="top" wrapText="1"/>
    </xf>
    <xf numFmtId="0" fontId="9" fillId="0" borderId="62" xfId="0" applyFont="1" applyBorder="1" applyAlignment="1">
      <alignment horizontal="center" vertical="top" wrapText="1"/>
    </xf>
    <xf numFmtId="0" fontId="16" fillId="0" borderId="63" xfId="0" applyFont="1" applyBorder="1" applyAlignment="1">
      <alignment horizontal="center" vertical="top" wrapText="1"/>
    </xf>
    <xf numFmtId="2" fontId="10" fillId="4" borderId="36" xfId="0" applyNumberFormat="1" applyFont="1" applyFill="1" applyBorder="1" applyAlignment="1">
      <alignment horizontal="center" vertical="top" wrapText="1"/>
    </xf>
    <xf numFmtId="2" fontId="10" fillId="4" borderId="64" xfId="0" applyNumberFormat="1" applyFont="1" applyFill="1" applyBorder="1" applyAlignment="1">
      <alignment horizontal="center" vertical="top" wrapText="1"/>
    </xf>
    <xf numFmtId="0" fontId="9" fillId="0" borderId="65" xfId="0" applyFont="1" applyBorder="1" applyAlignment="1">
      <alignment horizontal="center" vertical="top" wrapText="1"/>
    </xf>
    <xf numFmtId="0" fontId="9" fillId="0" borderId="66" xfId="0" applyFont="1" applyBorder="1" applyAlignment="1">
      <alignment horizontal="center" vertical="top" wrapText="1"/>
    </xf>
    <xf numFmtId="2" fontId="10" fillId="4" borderId="67" xfId="0" applyNumberFormat="1" applyFont="1" applyFill="1" applyBorder="1" applyAlignment="1">
      <alignment horizontal="center" vertical="top" wrapText="1"/>
    </xf>
    <xf numFmtId="0" fontId="9" fillId="0" borderId="68" xfId="0" applyFont="1" applyBorder="1" applyAlignment="1">
      <alignment horizontal="center" vertical="top" wrapText="1"/>
    </xf>
    <xf numFmtId="2" fontId="10" fillId="0" borderId="69" xfId="0" applyNumberFormat="1" applyFont="1" applyBorder="1" applyAlignment="1">
      <alignment horizontal="center" vertical="top" wrapText="1"/>
    </xf>
    <xf numFmtId="0" fontId="9" fillId="0" borderId="70" xfId="0" applyFont="1" applyBorder="1" applyAlignment="1">
      <alignment horizontal="center" vertical="top" wrapText="1"/>
    </xf>
    <xf numFmtId="2" fontId="10" fillId="0" borderId="71" xfId="0" applyNumberFormat="1" applyFont="1" applyBorder="1" applyAlignment="1">
      <alignment horizontal="center" vertical="top" wrapText="1"/>
    </xf>
    <xf numFmtId="2" fontId="10" fillId="0" borderId="72" xfId="0" applyNumberFormat="1" applyFont="1" applyBorder="1" applyAlignment="1">
      <alignment horizontal="center" vertical="top" wrapText="1"/>
    </xf>
    <xf numFmtId="2" fontId="0" fillId="0" borderId="0" xfId="0" applyNumberFormat="1"/>
    <xf numFmtId="0" fontId="22" fillId="0" borderId="0" xfId="0" applyFont="1"/>
    <xf numFmtId="0" fontId="9" fillId="0" borderId="5" xfId="0" applyFont="1" applyBorder="1" applyAlignment="1">
      <alignment horizontal="center" vertical="top" wrapText="1"/>
    </xf>
    <xf numFmtId="0" fontId="9" fillId="0" borderId="37" xfId="0" applyFont="1" applyBorder="1" applyAlignment="1">
      <alignment horizontal="center" vertical="top" wrapText="1"/>
    </xf>
    <xf numFmtId="0" fontId="9" fillId="0" borderId="38" xfId="0" applyFont="1" applyBorder="1" applyAlignment="1">
      <alignment horizontal="center" vertical="top" wrapText="1"/>
    </xf>
    <xf numFmtId="0" fontId="9" fillId="0" borderId="39" xfId="0" applyFont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9" fillId="5" borderId="37" xfId="0" applyFont="1" applyFill="1" applyBorder="1" applyAlignment="1">
      <alignment horizontal="center" vertical="top" wrapText="1"/>
    </xf>
    <xf numFmtId="0" fontId="3" fillId="0" borderId="40" xfId="0" applyFont="1" applyBorder="1"/>
    <xf numFmtId="0" fontId="11" fillId="0" borderId="0" xfId="0" applyFont="1"/>
    <xf numFmtId="0" fontId="0" fillId="0" borderId="0" xfId="0"/>
    <xf numFmtId="0" fontId="17" fillId="2" borderId="16" xfId="0" applyFont="1" applyFill="1" applyBorder="1" applyAlignment="1">
      <alignment horizontal="center" vertical="center" wrapText="1"/>
    </xf>
    <xf numFmtId="0" fontId="20" fillId="0" borderId="2" xfId="0" applyFont="1" applyBorder="1"/>
    <xf numFmtId="0" fontId="20" fillId="0" borderId="8" xfId="0" applyFont="1" applyBorder="1"/>
    <xf numFmtId="0" fontId="12" fillId="3" borderId="19" xfId="0" applyFont="1" applyFill="1" applyBorder="1" applyAlignment="1">
      <alignment horizontal="left" vertical="center" wrapText="1"/>
    </xf>
    <xf numFmtId="0" fontId="3" fillId="0" borderId="21" xfId="0" applyFont="1" applyBorder="1"/>
    <xf numFmtId="0" fontId="13" fillId="3" borderId="20" xfId="0" applyFont="1" applyFill="1" applyBorder="1" applyAlignment="1">
      <alignment horizontal="right" vertical="center"/>
    </xf>
    <xf numFmtId="0" fontId="3" fillId="0" borderId="22" xfId="0" applyFont="1" applyBorder="1"/>
    <xf numFmtId="0" fontId="11" fillId="0" borderId="29" xfId="0" applyFont="1" applyBorder="1"/>
    <xf numFmtId="0" fontId="17" fillId="2" borderId="2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2" fillId="3" borderId="21" xfId="0" applyFont="1" applyFill="1" applyBorder="1" applyAlignment="1">
      <alignment horizontal="left" vertical="center" wrapText="1"/>
    </xf>
    <xf numFmtId="0" fontId="13" fillId="3" borderId="51" xfId="0" applyFont="1" applyFill="1" applyBorder="1" applyAlignment="1">
      <alignment horizontal="right" vertical="center"/>
    </xf>
    <xf numFmtId="0" fontId="13" fillId="3" borderId="52" xfId="0" applyFont="1" applyFill="1" applyBorder="1" applyAlignment="1">
      <alignment horizontal="right" vertical="center"/>
    </xf>
    <xf numFmtId="0" fontId="4" fillId="2" borderId="2" xfId="0" applyFont="1" applyFill="1" applyBorder="1" applyAlignment="1">
      <alignment horizontal="center" wrapText="1"/>
    </xf>
    <xf numFmtId="0" fontId="3" fillId="0" borderId="2" xfId="0" applyFont="1" applyBorder="1"/>
    <xf numFmtId="0" fontId="3" fillId="0" borderId="8" xfId="0" applyFont="1" applyBorder="1"/>
    <xf numFmtId="0" fontId="5" fillId="3" borderId="4" xfId="0" applyFont="1" applyFill="1" applyBorder="1" applyAlignment="1">
      <alignment wrapText="1"/>
    </xf>
    <xf numFmtId="0" fontId="3" fillId="0" borderId="6" xfId="0" applyFont="1" applyBorder="1"/>
    <xf numFmtId="0" fontId="1" fillId="3" borderId="5" xfId="0" applyFont="1" applyFill="1" applyBorder="1" applyAlignment="1">
      <alignment horizontal="right"/>
    </xf>
    <xf numFmtId="0" fontId="3" fillId="0" borderId="7" xfId="0" applyFont="1" applyBorder="1"/>
    <xf numFmtId="0" fontId="2" fillId="0" borderId="1" xfId="0" applyFont="1" applyBorder="1"/>
    <xf numFmtId="0" fontId="3" fillId="0" borderId="1" xfId="0" applyFont="1" applyBorder="1"/>
    <xf numFmtId="0" fontId="1" fillId="3" borderId="4" xfId="0" applyFont="1" applyFill="1" applyBorder="1" applyAlignment="1">
      <alignment horizontal="right"/>
    </xf>
    <xf numFmtId="0" fontId="13" fillId="3" borderId="22" xfId="0" applyFont="1" applyFill="1" applyBorder="1" applyAlignment="1">
      <alignment horizontal="right" vertical="center"/>
    </xf>
    <xf numFmtId="0" fontId="11" fillId="0" borderId="54" xfId="0" applyFont="1" applyBorder="1"/>
    <xf numFmtId="0" fontId="0" fillId="0" borderId="54" xfId="0" applyBorder="1"/>
    <xf numFmtId="0" fontId="0" fillId="0" borderId="55" xfId="0" applyBorder="1"/>
    <xf numFmtId="0" fontId="17" fillId="2" borderId="56" xfId="0" applyFont="1" applyFill="1" applyBorder="1" applyAlignment="1">
      <alignment horizontal="center" vertical="center" wrapText="1"/>
    </xf>
    <xf numFmtId="0" fontId="3" fillId="0" borderId="58" xfId="0" applyFont="1" applyBorder="1"/>
    <xf numFmtId="0" fontId="3" fillId="0" borderId="61" xfId="0" applyFont="1" applyBorder="1"/>
    <xf numFmtId="0" fontId="13" fillId="3" borderId="59" xfId="0" applyFont="1" applyFill="1" applyBorder="1" applyAlignment="1">
      <alignment horizontal="right" vertical="center"/>
    </xf>
    <xf numFmtId="0" fontId="3" fillId="0" borderId="60" xfId="0" applyFont="1" applyBorder="1"/>
    <xf numFmtId="0" fontId="10" fillId="0" borderId="5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Error</a:t>
            </a:r>
            <a:r>
              <a:rPr lang="es-ES" baseline="0"/>
              <a:t> medio (menos es mejor)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Hoja1!$O$54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Hoja1!$N$55:$N$58</c:f>
              <c:strCache>
                <c:ptCount val="4"/>
                <c:pt idx="0">
                  <c:v>Cruce=OX2, E=1, kBest=2, kWorst=3</c:v>
                </c:pt>
                <c:pt idx="1">
                  <c:v>Cruce=OX2, E=1, kBest=3, kWorst=3</c:v>
                </c:pt>
                <c:pt idx="2">
                  <c:v>Cruce=OX2, E=2, kBest=2, kWorst=3</c:v>
                </c:pt>
                <c:pt idx="3">
                  <c:v>Cruce=OX2, E=2, kBest=3, kWorst=3</c:v>
                </c:pt>
              </c:strCache>
            </c:strRef>
          </c:cat>
          <c:val>
            <c:numRef>
              <c:f>Hoja1!$O$55:$O$58</c:f>
              <c:numCache>
                <c:formatCode>0.00%</c:formatCode>
                <c:ptCount val="4"/>
                <c:pt idx="0">
                  <c:v>0.13319249595987123</c:v>
                </c:pt>
                <c:pt idx="1">
                  <c:v>9.3057275778411996E-2</c:v>
                </c:pt>
                <c:pt idx="2">
                  <c:v>0.10122557602816315</c:v>
                </c:pt>
                <c:pt idx="3">
                  <c:v>8.2873045156951458E-2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5-4027-AF51-D98D2B5CD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0986015"/>
        <c:axId val="1880983615"/>
      </c:barChart>
      <c:catAx>
        <c:axId val="1880986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0983615"/>
        <c:crosses val="autoZero"/>
        <c:auto val="1"/>
        <c:lblAlgn val="ctr"/>
        <c:lblOffset val="100"/>
        <c:noMultiLvlLbl val="0"/>
      </c:catAx>
      <c:valAx>
        <c:axId val="188098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0986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Media de</a:t>
            </a:r>
            <a:r>
              <a:rPr lang="es-ES" baseline="0"/>
              <a:t> error (menos es mejor)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Hoja1!$O$189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Hoja1!$N$190:$N$191</c:f>
              <c:strCache>
                <c:ptCount val="2"/>
                <c:pt idx="0">
                  <c:v>Est: Cruce=OX2, M=100, kBest=2, kWorst=2</c:v>
                </c:pt>
                <c:pt idx="1">
                  <c:v>Est: Cruces=MOC, M=100, kBest=2, kWorst=2</c:v>
                </c:pt>
              </c:strCache>
            </c:strRef>
          </c:cat>
          <c:val>
            <c:numRef>
              <c:f>Hoja1!$O$190:$O$191</c:f>
              <c:numCache>
                <c:formatCode>0.00%</c:formatCode>
                <c:ptCount val="2"/>
                <c:pt idx="0">
                  <c:v>0.12737465087623068</c:v>
                </c:pt>
                <c:pt idx="1">
                  <c:v>0.10663714037406641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4C-4EA6-A9C5-FE01B48C9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1764543"/>
        <c:axId val="2041766943"/>
      </c:barChart>
      <c:catAx>
        <c:axId val="2041764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41766943"/>
        <c:crosses val="autoZero"/>
        <c:auto val="1"/>
        <c:lblAlgn val="ctr"/>
        <c:lblOffset val="100"/>
        <c:noMultiLvlLbl val="0"/>
      </c:catAx>
      <c:valAx>
        <c:axId val="204176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41764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Media de error (menos es mejor)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Hoja1!$O$128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Hoja1!$N$129:$N$132</c:f>
              <c:strCache>
                <c:ptCount val="4"/>
                <c:pt idx="0">
                  <c:v>Cruce=MOC, E=1, kBest=2, kWorst=3</c:v>
                </c:pt>
                <c:pt idx="1">
                  <c:v>Cruce=MOC, E=1, kBest=3, kWorst=3</c:v>
                </c:pt>
                <c:pt idx="2">
                  <c:v>Cruce=MOC, E=2, kBest=2, kWorst=3</c:v>
                </c:pt>
                <c:pt idx="3">
                  <c:v>Cruce=MOC, E=2, kBest=3, kWorst=3</c:v>
                </c:pt>
              </c:strCache>
            </c:strRef>
          </c:cat>
          <c:val>
            <c:numRef>
              <c:f>Hoja1!$O$129:$O$132</c:f>
              <c:numCache>
                <c:formatCode>0.00%</c:formatCode>
                <c:ptCount val="4"/>
                <c:pt idx="0">
                  <c:v>0.12882639687990155</c:v>
                </c:pt>
                <c:pt idx="1">
                  <c:v>9.1616172235781168E-2</c:v>
                </c:pt>
                <c:pt idx="2">
                  <c:v>9.3756936043993627E-2</c:v>
                </c:pt>
                <c:pt idx="3">
                  <c:v>7.2317833124453404E-2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9-4650-A828-AF32BD6FC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0252079"/>
        <c:axId val="1540252559"/>
      </c:barChart>
      <c:catAx>
        <c:axId val="1540252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0252559"/>
        <c:crosses val="autoZero"/>
        <c:auto val="1"/>
        <c:lblAlgn val="ctr"/>
        <c:lblOffset val="100"/>
        <c:noMultiLvlLbl val="0"/>
      </c:catAx>
      <c:valAx>
        <c:axId val="154025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0252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Error medio (menos es mejor)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Hoja1!$Y$72:$Y$73</c:f>
              <c:strCache>
                <c:ptCount val="2"/>
                <c:pt idx="0">
                  <c:v>Cruce=OX2, E=2, kBest=3, kWorst=3</c:v>
                </c:pt>
                <c:pt idx="1">
                  <c:v>Cruce=MOC, E=2, kBest=3, kWorst=3</c:v>
                </c:pt>
              </c:strCache>
            </c:strRef>
          </c:cat>
          <c:val>
            <c:numRef>
              <c:f>Hoja1!$Z$72:$Z$73</c:f>
              <c:numCache>
                <c:formatCode>0.00%</c:formatCode>
                <c:ptCount val="2"/>
                <c:pt idx="0">
                  <c:v>8.2873045156951458E-2</c:v>
                </c:pt>
                <c:pt idx="1">
                  <c:v>7.2317833124453404E-2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E-48AC-8753-D4538368F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9070912"/>
        <c:axId val="1739072832"/>
      </c:barChart>
      <c:catAx>
        <c:axId val="173907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072832"/>
        <c:crosses val="autoZero"/>
        <c:auto val="1"/>
        <c:lblAlgn val="ctr"/>
        <c:lblOffset val="100"/>
        <c:noMultiLvlLbl val="0"/>
      </c:catAx>
      <c:valAx>
        <c:axId val="173907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070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de ejecución (menos es mejor)(s)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Hoja1!$Y$72:$Y$73</c:f>
              <c:strCache>
                <c:ptCount val="2"/>
                <c:pt idx="0">
                  <c:v>Cruce=OX2, E=2, kBest=3, kWorst=3</c:v>
                </c:pt>
                <c:pt idx="1">
                  <c:v>Cruce=MOC, E=2, kBest=3, kWorst=3</c:v>
                </c:pt>
              </c:strCache>
            </c:strRef>
          </c:cat>
          <c:val>
            <c:numRef>
              <c:f>Hoja1!$AA$72:$AA$73</c:f>
              <c:numCache>
                <c:formatCode>0.00</c:formatCode>
                <c:ptCount val="2"/>
                <c:pt idx="0">
                  <c:v>5.9914999999999994</c:v>
                </c:pt>
                <c:pt idx="1">
                  <c:v>5.8832500000000003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D5-4595-8DA0-1A21EC47A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6430671"/>
        <c:axId val="766428751"/>
      </c:barChart>
      <c:catAx>
        <c:axId val="7664306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66428751"/>
        <c:crosses val="autoZero"/>
        <c:auto val="1"/>
        <c:lblAlgn val="ctr"/>
        <c:lblOffset val="100"/>
        <c:noMultiLvlLbl val="0"/>
      </c:catAx>
      <c:valAx>
        <c:axId val="7664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66430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Error medio</a:t>
            </a:r>
            <a:r>
              <a:rPr lang="es-ES" baseline="0"/>
              <a:t> (menos es mejor)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93-45D2-8E62-30BC89EB8F48}"/>
              </c:ext>
            </c:extLst>
          </c:dPt>
          <c:cat>
            <c:strRef>
              <c:f>Hoja1!$O$212:$O$214</c:f>
              <c:strCache>
                <c:ptCount val="3"/>
                <c:pt idx="0">
                  <c:v>Generacional Cruce=MOC, E=2, kBest=3, kWorst=3</c:v>
                </c:pt>
                <c:pt idx="1">
                  <c:v>Estacionario Cruce=MOC, E=1, kBest=3, kWorst=3</c:v>
                </c:pt>
                <c:pt idx="2">
                  <c:v>TABU</c:v>
                </c:pt>
              </c:strCache>
            </c:strRef>
          </c:cat>
          <c:val>
            <c:numRef>
              <c:f>Hoja1!$P$212:$P$214</c:f>
              <c:numCache>
                <c:formatCode>0.00%</c:formatCode>
                <c:ptCount val="3"/>
                <c:pt idx="0">
                  <c:v>7.2317833124453404E-2</c:v>
                </c:pt>
                <c:pt idx="1">
                  <c:v>0.10663714037406641</c:v>
                </c:pt>
                <c:pt idx="2">
                  <c:v>3.4050772222442238E-2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3-45D2-8E62-30BC89EB8F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6792528"/>
        <c:axId val="1016786288"/>
      </c:barChart>
      <c:catAx>
        <c:axId val="101679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16786288"/>
        <c:crosses val="autoZero"/>
        <c:auto val="1"/>
        <c:lblAlgn val="ctr"/>
        <c:lblOffset val="100"/>
        <c:noMultiLvlLbl val="0"/>
      </c:catAx>
      <c:valAx>
        <c:axId val="101678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16792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de ejecución medio (s)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cat>
            <c:strRef>
              <c:f>Hoja1!$Z$212:$Z$214</c:f>
              <c:strCache>
                <c:ptCount val="3"/>
                <c:pt idx="0">
                  <c:v>Generacional Cruce=MOC, E=2, kBest=3, kWorst=3</c:v>
                </c:pt>
                <c:pt idx="1">
                  <c:v>Estacionario Cruce=MOC, E=1, kBest=3, kWorst=3</c:v>
                </c:pt>
                <c:pt idx="2">
                  <c:v>TABU</c:v>
                </c:pt>
              </c:strCache>
            </c:strRef>
          </c:cat>
          <c:val>
            <c:numRef>
              <c:f>Hoja1!$AA$212:$AA$214</c:f>
              <c:numCache>
                <c:formatCode>0.00</c:formatCode>
                <c:ptCount val="3"/>
                <c:pt idx="0">
                  <c:v>5.8832500000000003</c:v>
                </c:pt>
                <c:pt idx="1">
                  <c:v>27.933700000000002</c:v>
                </c:pt>
                <c:pt idx="2">
                  <c:v>38.497052233219122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D4-4D4F-8E90-7F5355F11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2108175"/>
        <c:axId val="1982092815"/>
      </c:barChart>
      <c:catAx>
        <c:axId val="198210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82092815"/>
        <c:crosses val="autoZero"/>
        <c:auto val="1"/>
        <c:lblAlgn val="ctr"/>
        <c:lblOffset val="100"/>
        <c:noMultiLvlLbl val="0"/>
      </c:catAx>
      <c:valAx>
        <c:axId val="198209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82108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571500</xdr:colOff>
      <xdr:row>63</xdr:row>
      <xdr:rowOff>76200</xdr:rowOff>
    </xdr:from>
    <xdr:to>
      <xdr:col>21</xdr:col>
      <xdr:colOff>209549</xdr:colOff>
      <xdr:row>75</xdr:row>
      <xdr:rowOff>4762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94A349B-057A-294D-ED84-7B1540F5D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500062</xdr:colOff>
      <xdr:row>173</xdr:row>
      <xdr:rowOff>23812</xdr:rowOff>
    </xdr:from>
    <xdr:to>
      <xdr:col>18</xdr:col>
      <xdr:colOff>204787</xdr:colOff>
      <xdr:row>186</xdr:row>
      <xdr:rowOff>166687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D72D017-CF0C-94F5-036E-A50B2ED8C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19050</xdr:colOff>
      <xdr:row>135</xdr:row>
      <xdr:rowOff>4762</xdr:rowOff>
    </xdr:from>
    <xdr:to>
      <xdr:col>18</xdr:col>
      <xdr:colOff>419100</xdr:colOff>
      <xdr:row>145</xdr:row>
      <xdr:rowOff>147637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1A14E6E-4507-4BE0-B887-297A0F4FE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219075</xdr:colOff>
      <xdr:row>57</xdr:row>
      <xdr:rowOff>100012</xdr:rowOff>
    </xdr:from>
    <xdr:to>
      <xdr:col>16</xdr:col>
      <xdr:colOff>619125</xdr:colOff>
      <xdr:row>69</xdr:row>
      <xdr:rowOff>242887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DC1FAD6-E9D1-2FFF-ACC6-FB57FA5B4D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19050</xdr:colOff>
      <xdr:row>54</xdr:row>
      <xdr:rowOff>157162</xdr:rowOff>
    </xdr:from>
    <xdr:to>
      <xdr:col>23</xdr:col>
      <xdr:colOff>419100</xdr:colOff>
      <xdr:row>68</xdr:row>
      <xdr:rowOff>14287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5A89B11-74F2-EEE5-128E-2288B59D7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342900</xdr:colOff>
      <xdr:row>210</xdr:row>
      <xdr:rowOff>179070</xdr:rowOff>
    </xdr:from>
    <xdr:to>
      <xdr:col>22</xdr:col>
      <xdr:colOff>617220</xdr:colOff>
      <xdr:row>219</xdr:row>
      <xdr:rowOff>41910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B37A5DA-5A5F-ECD6-F81E-8273C948D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502920</xdr:colOff>
      <xdr:row>213</xdr:row>
      <xdr:rowOff>87630</xdr:rowOff>
    </xdr:from>
    <xdr:to>
      <xdr:col>26</xdr:col>
      <xdr:colOff>777240</xdr:colOff>
      <xdr:row>224</xdr:row>
      <xdr:rowOff>102870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4777491-82BD-221C-E97E-D430D20EA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4926F7-2A8B-420A-9355-DD52CBDADD69}">
  <we:reference id="wa200003987" version="1.0.0.5" store="es-ES" storeType="OMEX"/>
  <we:alternateReferences>
    <we:reference id="wa200003987" version="1.0.0.5" store="wa20000398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81"/>
  <sheetViews>
    <sheetView tabSelected="1" topLeftCell="A214" workbookViewId="0">
      <selection activeCell="G224" sqref="G224"/>
    </sheetView>
  </sheetViews>
  <sheetFormatPr baseColWidth="10" defaultColWidth="14.44140625" defaultRowHeight="15" customHeight="1" x14ac:dyDescent="0.3"/>
  <cols>
    <col min="1" max="1" width="25.33203125" customWidth="1"/>
    <col min="2" max="2" width="12.5546875" customWidth="1"/>
    <col min="3" max="3" width="9.88671875" customWidth="1"/>
    <col min="4" max="4" width="12.5546875" customWidth="1"/>
    <col min="5" max="5" width="9.5546875" customWidth="1"/>
    <col min="6" max="6" width="12.5546875" customWidth="1"/>
    <col min="7" max="7" width="9.44140625" customWidth="1"/>
    <col min="8" max="8" width="12.5546875" customWidth="1"/>
    <col min="9" max="9" width="13.33203125" customWidth="1"/>
    <col min="10" max="26" width="10.44140625" customWidth="1"/>
  </cols>
  <sheetData>
    <row r="1" spans="1:26" ht="23.4" x14ac:dyDescent="0.45">
      <c r="A1" s="41"/>
      <c r="B1" s="104" t="s">
        <v>0</v>
      </c>
      <c r="C1" s="105"/>
      <c r="D1" s="104" t="s">
        <v>1</v>
      </c>
      <c r="E1" s="105"/>
      <c r="F1" s="104" t="s">
        <v>2</v>
      </c>
      <c r="G1" s="105"/>
      <c r="H1" s="104" t="s">
        <v>3</v>
      </c>
      <c r="I1" s="105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 x14ac:dyDescent="0.3">
      <c r="A2" s="97" t="s">
        <v>4</v>
      </c>
      <c r="B2" s="2" t="s">
        <v>5</v>
      </c>
      <c r="C2" s="3">
        <v>20</v>
      </c>
      <c r="D2" s="2" t="s">
        <v>5</v>
      </c>
      <c r="E2" s="3">
        <v>20</v>
      </c>
      <c r="F2" s="2" t="s">
        <v>5</v>
      </c>
      <c r="G2" s="3">
        <v>30</v>
      </c>
      <c r="H2" s="2" t="s">
        <v>5</v>
      </c>
      <c r="I2" s="3">
        <v>30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 x14ac:dyDescent="0.3">
      <c r="A3" s="98"/>
      <c r="B3" s="100" t="s">
        <v>6</v>
      </c>
      <c r="C3" s="102">
        <v>3542</v>
      </c>
      <c r="D3" s="100" t="s">
        <v>6</v>
      </c>
      <c r="E3" s="102">
        <v>26876</v>
      </c>
      <c r="F3" s="100" t="s">
        <v>6</v>
      </c>
      <c r="G3" s="102">
        <v>13292</v>
      </c>
      <c r="H3" s="100" t="s">
        <v>6</v>
      </c>
      <c r="I3" s="106">
        <v>150528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4" x14ac:dyDescent="0.3">
      <c r="A4" s="98"/>
      <c r="B4" s="101"/>
      <c r="C4" s="103"/>
      <c r="D4" s="101"/>
      <c r="E4" s="103"/>
      <c r="F4" s="101"/>
      <c r="G4" s="103"/>
      <c r="H4" s="101"/>
      <c r="I4" s="10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2" x14ac:dyDescent="0.3">
      <c r="A5" s="99"/>
      <c r="B5" s="4" t="s">
        <v>7</v>
      </c>
      <c r="C5" s="5" t="s">
        <v>8</v>
      </c>
      <c r="D5" s="4" t="s">
        <v>7</v>
      </c>
      <c r="E5" s="5" t="s">
        <v>8</v>
      </c>
      <c r="F5" s="4" t="s">
        <v>7</v>
      </c>
      <c r="G5" s="5" t="s">
        <v>8</v>
      </c>
      <c r="H5" s="4" t="s">
        <v>7</v>
      </c>
      <c r="I5" s="5" t="s">
        <v>8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6" t="s">
        <v>9</v>
      </c>
      <c r="B6" s="36">
        <v>3876</v>
      </c>
      <c r="C6" s="7">
        <v>1.25646591186523E-4</v>
      </c>
      <c r="D6" s="36">
        <v>32748</v>
      </c>
      <c r="E6" s="7">
        <v>1.15633010864257E-4</v>
      </c>
      <c r="F6" s="36">
        <v>13786</v>
      </c>
      <c r="G6" s="7">
        <v>2.41756439208984E-4</v>
      </c>
      <c r="H6" s="36">
        <v>188018</v>
      </c>
      <c r="I6" s="8">
        <v>2.33888626098632E-4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8" thickTop="1" thickBot="1" x14ac:dyDescent="0.35">
      <c r="A7" s="9" t="s">
        <v>10</v>
      </c>
      <c r="B7" s="10">
        <f>AVERAGE((B6-$C$3)/$C$3)</f>
        <v>9.42970073404856E-2</v>
      </c>
      <c r="C7" s="11">
        <f>C6</f>
        <v>1.25646591186523E-4</v>
      </c>
      <c r="D7" s="10">
        <f>AVERAGE((D6-$E$3)/$E$3)</f>
        <v>0.21848489358535497</v>
      </c>
      <c r="E7" s="11">
        <f>E6</f>
        <v>1.15633010864257E-4</v>
      </c>
      <c r="F7" s="10">
        <f>AVERAGE((F6-$G$3)/$G$3)</f>
        <v>3.7165212157688837E-2</v>
      </c>
      <c r="G7" s="11">
        <f>G6</f>
        <v>2.41756439208984E-4</v>
      </c>
      <c r="H7" s="10">
        <f>AVERAGE((H6-$I$3)/$I$3)</f>
        <v>0.24905665391156462</v>
      </c>
      <c r="I7" s="11">
        <f>I6</f>
        <v>2.33888626098632E-4</v>
      </c>
    </row>
    <row r="8" spans="1:26" ht="14.4" x14ac:dyDescent="0.3"/>
    <row r="9" spans="1:26" ht="15.6" x14ac:dyDescent="0.3">
      <c r="A9" s="47"/>
      <c r="B9" s="38"/>
      <c r="C9" s="47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1.2" thickBot="1" x14ac:dyDescent="0.5">
      <c r="A10" s="48" t="s">
        <v>21</v>
      </c>
      <c r="B10" s="82" t="s">
        <v>0</v>
      </c>
      <c r="C10" s="83"/>
      <c r="D10" s="82" t="s">
        <v>1</v>
      </c>
      <c r="E10" s="83"/>
      <c r="F10" s="82" t="s">
        <v>2</v>
      </c>
      <c r="G10" s="83"/>
      <c r="H10" s="82" t="s">
        <v>3</v>
      </c>
      <c r="I10" s="83"/>
    </row>
    <row r="11" spans="1:26" ht="13.5" customHeight="1" x14ac:dyDescent="0.3">
      <c r="A11" s="84" t="s">
        <v>20</v>
      </c>
      <c r="B11" s="12" t="s">
        <v>5</v>
      </c>
      <c r="C11" s="13">
        <v>20</v>
      </c>
      <c r="D11" s="14" t="s">
        <v>5</v>
      </c>
      <c r="E11" s="13">
        <v>20</v>
      </c>
      <c r="F11" s="14" t="s">
        <v>5</v>
      </c>
      <c r="G11" s="13">
        <v>30</v>
      </c>
      <c r="H11" s="14" t="s">
        <v>5</v>
      </c>
      <c r="I11" s="13">
        <v>30</v>
      </c>
    </row>
    <row r="12" spans="1:26" ht="15" customHeight="1" x14ac:dyDescent="0.3">
      <c r="A12" s="98"/>
      <c r="B12" s="87" t="s">
        <v>6</v>
      </c>
      <c r="C12" s="89">
        <v>3542</v>
      </c>
      <c r="D12" s="87" t="s">
        <v>6</v>
      </c>
      <c r="E12" s="89">
        <v>26876</v>
      </c>
      <c r="F12" s="87" t="s">
        <v>6</v>
      </c>
      <c r="G12" s="89">
        <v>13292</v>
      </c>
      <c r="H12" s="87" t="s">
        <v>6</v>
      </c>
      <c r="I12" s="89">
        <v>150528</v>
      </c>
    </row>
    <row r="13" spans="1:26" ht="14.4" x14ac:dyDescent="0.3">
      <c r="A13" s="98"/>
      <c r="B13" s="88"/>
      <c r="C13" s="90"/>
      <c r="D13" s="88"/>
      <c r="E13" s="90"/>
      <c r="F13" s="88"/>
      <c r="G13" s="90"/>
      <c r="H13" s="88"/>
      <c r="I13" s="90"/>
    </row>
    <row r="14" spans="1:26" ht="17.399999999999999" thickTop="1" thickBot="1" x14ac:dyDescent="0.35">
      <c r="A14" s="99"/>
      <c r="B14" s="15" t="s">
        <v>7</v>
      </c>
      <c r="C14" s="16" t="s">
        <v>8</v>
      </c>
      <c r="D14" s="15" t="s">
        <v>7</v>
      </c>
      <c r="E14" s="17" t="s">
        <v>8</v>
      </c>
      <c r="F14" s="15" t="s">
        <v>7</v>
      </c>
      <c r="G14" s="16" t="s">
        <v>8</v>
      </c>
      <c r="H14" s="15" t="s">
        <v>7</v>
      </c>
      <c r="I14" s="17" t="s">
        <v>8</v>
      </c>
    </row>
    <row r="15" spans="1:26" ht="16.8" thickTop="1" thickBot="1" x14ac:dyDescent="0.35">
      <c r="A15" s="39" t="s">
        <v>11</v>
      </c>
      <c r="B15" s="19">
        <v>3642</v>
      </c>
      <c r="C15" s="20">
        <v>3.6230000000000002</v>
      </c>
      <c r="D15" s="21">
        <v>31610</v>
      </c>
      <c r="E15" s="22">
        <v>3.629</v>
      </c>
      <c r="F15" s="19">
        <v>13506</v>
      </c>
      <c r="G15" s="20">
        <v>7.29</v>
      </c>
      <c r="H15" s="21">
        <v>182290</v>
      </c>
      <c r="I15" s="22">
        <v>7.8029999999999999</v>
      </c>
    </row>
    <row r="16" spans="1:26" ht="16.2" thickBot="1" x14ac:dyDescent="0.35">
      <c r="A16" s="23" t="s">
        <v>12</v>
      </c>
      <c r="B16" s="19">
        <v>3660</v>
      </c>
      <c r="C16" s="20">
        <v>4.0999999999999996</v>
      </c>
      <c r="D16" s="21">
        <v>31666</v>
      </c>
      <c r="E16" s="22">
        <v>4.0650000000000004</v>
      </c>
      <c r="F16" s="19">
        <v>13460</v>
      </c>
      <c r="G16" s="20">
        <v>8.0830000000000002</v>
      </c>
      <c r="H16" s="21">
        <v>181654</v>
      </c>
      <c r="I16" s="22">
        <v>7.8650000000000002</v>
      </c>
      <c r="J16" s="49"/>
    </row>
    <row r="17" spans="1:9" ht="16.2" thickBot="1" x14ac:dyDescent="0.35">
      <c r="A17" s="23" t="s">
        <v>13</v>
      </c>
      <c r="B17" s="19">
        <v>3634</v>
      </c>
      <c r="C17" s="20">
        <v>3.742</v>
      </c>
      <c r="D17" s="21">
        <v>32252</v>
      </c>
      <c r="E17" s="22">
        <v>3.76</v>
      </c>
      <c r="F17" s="19">
        <v>13510</v>
      </c>
      <c r="G17" s="20">
        <v>7.54</v>
      </c>
      <c r="H17" s="21">
        <v>179634</v>
      </c>
      <c r="I17" s="22">
        <v>7.76</v>
      </c>
    </row>
    <row r="18" spans="1:9" ht="16.2" thickBot="1" x14ac:dyDescent="0.35">
      <c r="A18" s="23" t="s">
        <v>14</v>
      </c>
      <c r="B18" s="19">
        <v>3642</v>
      </c>
      <c r="C18" s="20">
        <v>3.915</v>
      </c>
      <c r="D18" s="21">
        <v>30538</v>
      </c>
      <c r="E18" s="22">
        <v>3.7160000000000002</v>
      </c>
      <c r="F18" s="19">
        <v>13520</v>
      </c>
      <c r="G18" s="20">
        <v>7.69</v>
      </c>
      <c r="H18" s="21">
        <v>184294</v>
      </c>
      <c r="I18" s="22">
        <v>7.56</v>
      </c>
    </row>
    <row r="19" spans="1:9" ht="16.2" thickBot="1" x14ac:dyDescent="0.35">
      <c r="A19" s="24" t="s">
        <v>15</v>
      </c>
      <c r="B19" s="25">
        <v>3652</v>
      </c>
      <c r="C19" s="26">
        <v>3.7989999999999999</v>
      </c>
      <c r="D19" s="27">
        <v>31706</v>
      </c>
      <c r="E19" s="28">
        <v>4.1890000000000001</v>
      </c>
      <c r="F19" s="25">
        <v>13472</v>
      </c>
      <c r="G19" s="26">
        <v>7.6680000000000001</v>
      </c>
      <c r="H19" s="27">
        <v>183076</v>
      </c>
      <c r="I19" s="28">
        <v>7.7434000000000003</v>
      </c>
    </row>
    <row r="20" spans="1:9" ht="16.8" thickTop="1" thickBot="1" x14ac:dyDescent="0.35">
      <c r="A20" s="9" t="s">
        <v>10</v>
      </c>
      <c r="B20" s="10">
        <f>AVERAGE((B15-$C$12)/$C$12,(B16-$C$12)/$C$12,(B17-$C$12)/$C$12,(B18-$C$12)/$C$12,(B19-$C$12)/$C$12)</f>
        <v>2.9361942405420664E-2</v>
      </c>
      <c r="C20" s="11">
        <f>AVERAGE(C15:C19)</f>
        <v>3.8357999999999999</v>
      </c>
      <c r="D20" s="10">
        <f>AVERAGE((D15-$E$12)/$E$12,(D16-$E$12)/$E$12,(D17-$E$12)/$E$12,(D18-$E$12)/$E$12,(D19-$E$12)/$E$12)</f>
        <v>0.17407352284566152</v>
      </c>
      <c r="E20" s="11">
        <f>AVERAGE(E15:E19)</f>
        <v>3.8718000000000004</v>
      </c>
      <c r="F20" s="10">
        <f>AVERAGE((F15-$G$12)/$G$12,(F16-$G$12)/$G$12,(F17-$G$12)/$G$12,(F18-$G$12)/$G$12,(F19-$G$12)/$G$12)</f>
        <v>1.5167017755040627E-2</v>
      </c>
      <c r="G20" s="11">
        <f>AVERAGE(G15:G19)</f>
        <v>7.6542000000000003</v>
      </c>
      <c r="H20" s="10">
        <f>AVERAGE((H15-$I$12)/$I$12,(H16-$I$12)/$I$12,(H17-$I$12)/$I$12,(H18-$I$12)/$I$12,(H19-$I$12)/$I$12)</f>
        <v>0.21033694727891156</v>
      </c>
      <c r="I20" s="11">
        <f>AVERAGE(I15:I19)</f>
        <v>7.7462799999999987</v>
      </c>
    </row>
    <row r="21" spans="1:9" ht="16.2" thickBot="1" x14ac:dyDescent="0.35">
      <c r="A21" s="23" t="s">
        <v>16</v>
      </c>
      <c r="B21" s="29">
        <f>STDEV((B15-$C$12)/$C$12,(B16-$C$12)/$C$12,(B17-$C$12)/$C$12,(B18-$C$12)/$C$12,(B19-$C$12)/$C$12)</f>
        <v>2.8513565608023939E-3</v>
      </c>
      <c r="C21" s="29">
        <f>STDEV(C15:C19)</f>
        <v>0.18132208911216507</v>
      </c>
      <c r="D21" s="29">
        <f>STDEV((D15-$E$12)/$E$12,(D16-$E$12)/$E$12,(D17-$E$12)/$E$12,(D18-$E$12)/$E$12,(D19-$E$12)/$E$12)</f>
        <v>2.3223249715646564E-2</v>
      </c>
      <c r="E21" s="29">
        <f>STDEV(E15:E19)</f>
        <v>0.24169546954794177</v>
      </c>
      <c r="F21" s="29">
        <f>STDEV((F15-$G$12)/$G$12,(F16-$G$12)/$G$12,(F17-$G$12)/$G$12,(F18-$G$12)/$G$12,(F19-$G$12)/$G$12)</f>
        <v>1.9601106312948629E-3</v>
      </c>
      <c r="G21" s="29">
        <f>STDEV(G15:G19)</f>
        <v>0.28767377356999374</v>
      </c>
      <c r="H21" s="29">
        <f>STDEV((H15-$I$12)/$I$12,(H16-$I$12)/$I$12,(H17-$I$12)/$I$12,(H18-$I$12)/$I$12,(H19-$I$12)/$I$12)</f>
        <v>1.1526737680933983E-2</v>
      </c>
      <c r="I21" s="29">
        <f>STDEV(I15:I19)</f>
        <v>0.11424575265628059</v>
      </c>
    </row>
    <row r="22" spans="1:9" ht="15.6" x14ac:dyDescent="0.3">
      <c r="A22" s="37"/>
      <c r="B22" s="38"/>
      <c r="C22" s="38"/>
      <c r="D22" s="38"/>
      <c r="E22" s="38"/>
      <c r="F22" s="38"/>
      <c r="G22" s="38"/>
      <c r="H22" s="38"/>
      <c r="I22" s="38"/>
    </row>
    <row r="23" spans="1:9" ht="31.2" thickBot="1" x14ac:dyDescent="0.5">
      <c r="A23" s="48" t="s">
        <v>22</v>
      </c>
      <c r="B23" s="82" t="s">
        <v>0</v>
      </c>
      <c r="C23" s="83"/>
      <c r="D23" s="82" t="s">
        <v>1</v>
      </c>
      <c r="E23" s="83"/>
      <c r="F23" s="82" t="s">
        <v>2</v>
      </c>
      <c r="G23" s="83"/>
      <c r="H23" s="82" t="s">
        <v>3</v>
      </c>
      <c r="I23" s="83"/>
    </row>
    <row r="24" spans="1:9" ht="15" customHeight="1" x14ac:dyDescent="0.3">
      <c r="A24" s="84" t="s">
        <v>20</v>
      </c>
      <c r="B24" s="12" t="s">
        <v>5</v>
      </c>
      <c r="C24" s="13">
        <v>20</v>
      </c>
      <c r="D24" s="14" t="s">
        <v>5</v>
      </c>
      <c r="E24" s="13">
        <v>20</v>
      </c>
      <c r="F24" s="14" t="s">
        <v>5</v>
      </c>
      <c r="G24" s="13">
        <v>30</v>
      </c>
      <c r="H24" s="14" t="s">
        <v>5</v>
      </c>
      <c r="I24" s="13">
        <v>30</v>
      </c>
    </row>
    <row r="25" spans="1:9" ht="15" customHeight="1" x14ac:dyDescent="0.3">
      <c r="A25" s="98"/>
      <c r="B25" s="87" t="s">
        <v>6</v>
      </c>
      <c r="C25" s="89">
        <v>3542</v>
      </c>
      <c r="D25" s="87" t="s">
        <v>6</v>
      </c>
      <c r="E25" s="89">
        <v>26876</v>
      </c>
      <c r="F25" s="87" t="s">
        <v>6</v>
      </c>
      <c r="G25" s="89">
        <v>13292</v>
      </c>
      <c r="H25" s="87" t="s">
        <v>6</v>
      </c>
      <c r="I25" s="89">
        <v>150528</v>
      </c>
    </row>
    <row r="26" spans="1:9" thickBot="1" x14ac:dyDescent="0.35">
      <c r="A26" s="98"/>
      <c r="B26" s="88"/>
      <c r="C26" s="90"/>
      <c r="D26" s="88"/>
      <c r="E26" s="90"/>
      <c r="F26" s="88"/>
      <c r="G26" s="90"/>
      <c r="H26" s="88"/>
      <c r="I26" s="90"/>
    </row>
    <row r="27" spans="1:9" ht="17.399999999999999" thickTop="1" thickBot="1" x14ac:dyDescent="0.35">
      <c r="A27" s="99"/>
      <c r="B27" s="15" t="s">
        <v>7</v>
      </c>
      <c r="C27" s="16" t="s">
        <v>8</v>
      </c>
      <c r="D27" s="15" t="s">
        <v>7</v>
      </c>
      <c r="E27" s="17" t="s">
        <v>8</v>
      </c>
      <c r="F27" s="15" t="s">
        <v>7</v>
      </c>
      <c r="G27" s="16" t="s">
        <v>8</v>
      </c>
      <c r="H27" s="15" t="s">
        <v>7</v>
      </c>
      <c r="I27" s="17" t="s">
        <v>8</v>
      </c>
    </row>
    <row r="28" spans="1:9" ht="16.8" thickTop="1" thickBot="1" x14ac:dyDescent="0.35">
      <c r="A28" s="39" t="s">
        <v>11</v>
      </c>
      <c r="B28" s="19">
        <v>3620</v>
      </c>
      <c r="C28" s="20">
        <v>3.63</v>
      </c>
      <c r="D28" s="21">
        <v>28948</v>
      </c>
      <c r="E28" s="22">
        <v>3.7</v>
      </c>
      <c r="F28" s="19">
        <v>13466</v>
      </c>
      <c r="G28" s="20">
        <v>7.31</v>
      </c>
      <c r="H28" s="21">
        <v>180054</v>
      </c>
      <c r="I28" s="22">
        <v>7.2930000000000001</v>
      </c>
    </row>
    <row r="29" spans="1:9" ht="16.2" thickBot="1" x14ac:dyDescent="0.35">
      <c r="A29" s="23" t="s">
        <v>12</v>
      </c>
      <c r="B29" s="19">
        <v>3618</v>
      </c>
      <c r="C29" s="20">
        <v>3.7749999999999999</v>
      </c>
      <c r="D29" s="21">
        <v>31444</v>
      </c>
      <c r="E29" s="22">
        <v>3.75</v>
      </c>
      <c r="F29" s="19">
        <v>13452</v>
      </c>
      <c r="G29" s="20">
        <v>7.4969999999999999</v>
      </c>
      <c r="H29" s="21">
        <v>180682</v>
      </c>
      <c r="I29" s="22">
        <v>7.7889999999999997</v>
      </c>
    </row>
    <row r="30" spans="1:9" ht="16.2" thickBot="1" x14ac:dyDescent="0.35">
      <c r="A30" s="23" t="s">
        <v>13</v>
      </c>
      <c r="B30" s="19">
        <v>3628</v>
      </c>
      <c r="C30" s="20">
        <v>3.883</v>
      </c>
      <c r="D30" s="21">
        <v>31288</v>
      </c>
      <c r="E30" s="22">
        <v>4.3689999999999998</v>
      </c>
      <c r="F30" s="19">
        <v>13448</v>
      </c>
      <c r="G30" s="20">
        <v>7.87</v>
      </c>
      <c r="H30" s="21">
        <v>180106</v>
      </c>
      <c r="I30" s="22">
        <v>7.8970000000000002</v>
      </c>
    </row>
    <row r="31" spans="1:9" ht="16.2" thickBot="1" x14ac:dyDescent="0.35">
      <c r="A31" s="23" t="s">
        <v>14</v>
      </c>
      <c r="B31" s="19">
        <v>3622</v>
      </c>
      <c r="C31" s="20">
        <v>3.9809999999999999</v>
      </c>
      <c r="D31" s="21">
        <v>30026</v>
      </c>
      <c r="E31" s="22">
        <v>3.859</v>
      </c>
      <c r="F31" s="19">
        <v>13426</v>
      </c>
      <c r="G31" s="20">
        <v>8.2799999999999994</v>
      </c>
      <c r="H31" s="21">
        <v>181532</v>
      </c>
      <c r="I31" s="22">
        <v>7.7629999999999999</v>
      </c>
    </row>
    <row r="32" spans="1:9" ht="17.25" customHeight="1" thickBot="1" x14ac:dyDescent="0.35">
      <c r="A32" s="24" t="s">
        <v>15</v>
      </c>
      <c r="B32" s="25">
        <v>3618</v>
      </c>
      <c r="C32" s="26">
        <v>4.0869999999999997</v>
      </c>
      <c r="D32" s="27">
        <v>31380</v>
      </c>
      <c r="E32" s="28">
        <v>3.972</v>
      </c>
      <c r="F32" s="25">
        <v>13506</v>
      </c>
      <c r="G32" s="26">
        <v>7.89</v>
      </c>
      <c r="H32" s="27">
        <v>179332</v>
      </c>
      <c r="I32" s="28">
        <v>8.24</v>
      </c>
    </row>
    <row r="33" spans="1:9" ht="16.8" thickTop="1" thickBot="1" x14ac:dyDescent="0.35">
      <c r="A33" s="9" t="s">
        <v>10</v>
      </c>
      <c r="B33" s="10">
        <f>AVERAGE((B28-$C$12)/$C$12,(B29-$C$12)/$C$12,(B30-$C$12)/$C$12,(B31-$C$12)/$C$12,(B32-$C$12)/$C$12)</f>
        <v>2.2360248447204967E-2</v>
      </c>
      <c r="C33" s="11">
        <f>AVERAGE(C28:C32)</f>
        <v>3.8712000000000004</v>
      </c>
      <c r="D33" s="10">
        <f>AVERAGE((D28-$E$12)/$E$12,(D29-$E$12)/$E$12,(D30-$E$12)/$E$12,(D31-$E$12)/$E$12,(D32-$E$12)/$E$12)</f>
        <v>0.13920226224140497</v>
      </c>
      <c r="E33" s="11">
        <f>AVERAGE(E28:E32)</f>
        <v>3.9299999999999997</v>
      </c>
      <c r="F33" s="10">
        <f>AVERAGE((F28-$G$12)/$G$12,(F29-$G$12)/$G$12,(F30-$G$12)/$G$12,(F31-$G$12)/$G$12,(F32-$G$12)/$G$12)</f>
        <v>1.2609088173337345E-2</v>
      </c>
      <c r="G33" s="11">
        <f>AVERAGE(G28:G32)</f>
        <v>7.7694000000000001</v>
      </c>
      <c r="H33" s="10">
        <f>AVERAGE((H28-$I$12)/$I$12,(H29-$I$12)/$I$12,(H30-$I$12)/$I$12,(H31-$I$12)/$I$12,(H32-$I$12)/$I$12)</f>
        <v>0.19805750425170068</v>
      </c>
      <c r="I33" s="11">
        <f>AVERAGE(I28:I32)</f>
        <v>7.7964000000000002</v>
      </c>
    </row>
    <row r="34" spans="1:9" ht="17.25" customHeight="1" thickBot="1" x14ac:dyDescent="0.35">
      <c r="A34" s="23" t="s">
        <v>16</v>
      </c>
      <c r="B34" s="29">
        <f>STDEV((B28-$C$12)/$C$12,(B29-$C$12)/$C$12,(B30-$C$12)/$C$12,(B31-$C$12)/$C$12,(B32-$C$12)/$C$12)</f>
        <v>1.1708888398265233E-3</v>
      </c>
      <c r="C34" s="29">
        <f>STDEV(C28:C32)</f>
        <v>0.1776209447109208</v>
      </c>
      <c r="D34" s="29">
        <f>STDEV((D28-$E$12)/$E$12,(D29-$E$12)/$E$12,(D30-$E$12)/$E$12,(D31-$E$12)/$E$12,(D32-$E$12)/$E$12)</f>
        <v>4.0975956709875083E-2</v>
      </c>
      <c r="E34" s="29">
        <f>STDEV(E28:E32)</f>
        <v>0.26684546089450339</v>
      </c>
      <c r="F34" s="29">
        <f>STDEV((F28-$G$12)/$G$12,(F29-$G$12)/$G$12,(F30-$G$12)/$G$12,(F31-$G$12)/$G$12,(F32-$G$12)/$G$12)</f>
        <v>2.2302558721469749E-3</v>
      </c>
      <c r="G34" s="29">
        <f>STDEV(G28:G32)</f>
        <v>0.37769935133648286</v>
      </c>
      <c r="H34" s="29">
        <f>STDEV((H28-$I$12)/$I$12,(H29-$I$12)/$I$12,(H30-$I$12)/$I$12,(H31-$I$12)/$I$12,(H32-$I$12)/$I$12)</f>
        <v>5.4483388542684481E-3</v>
      </c>
      <c r="I34" s="29">
        <f>STDEV(I28:I32)</f>
        <v>0.33966277393909394</v>
      </c>
    </row>
    <row r="35" spans="1:9" ht="15.6" x14ac:dyDescent="0.3">
      <c r="A35" s="37"/>
      <c r="B35" s="38"/>
      <c r="C35" s="38"/>
      <c r="D35" s="38"/>
      <c r="E35" s="38"/>
      <c r="F35" s="38"/>
      <c r="G35" s="38"/>
      <c r="H35" s="38"/>
      <c r="I35" s="38"/>
    </row>
    <row r="36" spans="1:9" ht="17.25" customHeight="1" x14ac:dyDescent="0.3">
      <c r="A36" s="37"/>
      <c r="B36" s="38"/>
      <c r="C36" s="38"/>
      <c r="D36" s="38"/>
      <c r="E36" s="38"/>
      <c r="F36" s="38"/>
      <c r="G36" s="38"/>
      <c r="H36" s="38"/>
      <c r="I36" s="38"/>
    </row>
    <row r="37" spans="1:9" ht="31.2" thickBot="1" x14ac:dyDescent="0.5">
      <c r="A37" s="48" t="s">
        <v>23</v>
      </c>
      <c r="B37" s="82" t="s">
        <v>0</v>
      </c>
      <c r="C37" s="83"/>
      <c r="D37" s="82" t="s">
        <v>1</v>
      </c>
      <c r="E37" s="83"/>
      <c r="F37" s="82" t="s">
        <v>2</v>
      </c>
      <c r="G37" s="83"/>
      <c r="H37" s="82" t="s">
        <v>3</v>
      </c>
      <c r="I37" s="83"/>
    </row>
    <row r="38" spans="1:9" ht="15" customHeight="1" x14ac:dyDescent="0.3">
      <c r="A38" s="84" t="s">
        <v>20</v>
      </c>
      <c r="B38" s="12" t="s">
        <v>5</v>
      </c>
      <c r="C38" s="13">
        <v>20</v>
      </c>
      <c r="D38" s="14" t="s">
        <v>5</v>
      </c>
      <c r="E38" s="13">
        <v>20</v>
      </c>
      <c r="F38" s="14" t="s">
        <v>5</v>
      </c>
      <c r="G38" s="13">
        <v>30</v>
      </c>
      <c r="H38" s="14" t="s">
        <v>5</v>
      </c>
      <c r="I38" s="13">
        <v>30</v>
      </c>
    </row>
    <row r="39" spans="1:9" ht="15" customHeight="1" x14ac:dyDescent="0.3">
      <c r="A39" s="85"/>
      <c r="B39" s="87" t="s">
        <v>6</v>
      </c>
      <c r="C39" s="89">
        <v>3542</v>
      </c>
      <c r="D39" s="87" t="s">
        <v>6</v>
      </c>
      <c r="E39" s="89">
        <v>26876</v>
      </c>
      <c r="F39" s="87" t="s">
        <v>6</v>
      </c>
      <c r="G39" s="89">
        <v>13292</v>
      </c>
      <c r="H39" s="87" t="s">
        <v>6</v>
      </c>
      <c r="I39" s="89">
        <v>150528</v>
      </c>
    </row>
    <row r="40" spans="1:9" thickBot="1" x14ac:dyDescent="0.35">
      <c r="A40" s="85"/>
      <c r="B40" s="88"/>
      <c r="C40" s="90"/>
      <c r="D40" s="88"/>
      <c r="E40" s="90"/>
      <c r="F40" s="88"/>
      <c r="G40" s="90"/>
      <c r="H40" s="88"/>
      <c r="I40" s="90"/>
    </row>
    <row r="41" spans="1:9" ht="17.399999999999999" thickTop="1" thickBot="1" x14ac:dyDescent="0.35">
      <c r="A41" s="86"/>
      <c r="B41" s="15" t="s">
        <v>7</v>
      </c>
      <c r="C41" s="16" t="s">
        <v>8</v>
      </c>
      <c r="D41" s="15" t="s">
        <v>7</v>
      </c>
      <c r="E41" s="17" t="s">
        <v>8</v>
      </c>
      <c r="F41" s="15" t="s">
        <v>7</v>
      </c>
      <c r="G41" s="16" t="s">
        <v>8</v>
      </c>
      <c r="H41" s="15" t="s">
        <v>7</v>
      </c>
      <c r="I41" s="17" t="s">
        <v>8</v>
      </c>
    </row>
    <row r="42" spans="1:9" ht="15" customHeight="1" thickTop="1" thickBot="1" x14ac:dyDescent="0.35">
      <c r="A42" s="18" t="s">
        <v>11</v>
      </c>
      <c r="B42" s="19">
        <v>3664</v>
      </c>
      <c r="C42" s="20">
        <v>3.738</v>
      </c>
      <c r="D42" s="21">
        <v>31560</v>
      </c>
      <c r="E42" s="22">
        <v>3.7290000000000001</v>
      </c>
      <c r="F42" s="19">
        <v>13468</v>
      </c>
      <c r="G42" s="20">
        <v>7.3970000000000002</v>
      </c>
      <c r="H42" s="21">
        <v>181740</v>
      </c>
      <c r="I42" s="22">
        <v>7.3769999999999998</v>
      </c>
    </row>
    <row r="43" spans="1:9" ht="14.4" customHeight="1" thickBot="1" x14ac:dyDescent="0.35">
      <c r="A43" s="23" t="s">
        <v>12</v>
      </c>
      <c r="B43" s="19">
        <v>3634</v>
      </c>
      <c r="C43" s="20">
        <v>3.7370000000000001</v>
      </c>
      <c r="D43" s="21">
        <v>31872</v>
      </c>
      <c r="E43" s="22">
        <v>3.8</v>
      </c>
      <c r="F43" s="19">
        <v>13458</v>
      </c>
      <c r="G43" s="20">
        <v>7.5419999999999998</v>
      </c>
      <c r="H43" s="21">
        <v>178474</v>
      </c>
      <c r="I43" s="22">
        <v>7.8680000000000003</v>
      </c>
    </row>
    <row r="44" spans="1:9" ht="15" customHeight="1" thickBot="1" x14ac:dyDescent="0.35">
      <c r="A44" s="23" t="s">
        <v>13</v>
      </c>
      <c r="B44" s="19">
        <v>3662</v>
      </c>
      <c r="C44" s="20">
        <v>4.0279999999999996</v>
      </c>
      <c r="D44" s="21">
        <v>31280</v>
      </c>
      <c r="E44" s="22">
        <v>3.73</v>
      </c>
      <c r="F44" s="19">
        <v>13448</v>
      </c>
      <c r="G44" s="20">
        <v>7.52</v>
      </c>
      <c r="H44" s="21">
        <v>178932</v>
      </c>
      <c r="I44" s="22">
        <v>7.43</v>
      </c>
    </row>
    <row r="45" spans="1:9" ht="15" customHeight="1" thickBot="1" x14ac:dyDescent="0.35">
      <c r="A45" s="23" t="s">
        <v>14</v>
      </c>
      <c r="B45" s="19">
        <v>3644</v>
      </c>
      <c r="C45" s="20">
        <v>4.29</v>
      </c>
      <c r="D45" s="21">
        <v>31158</v>
      </c>
      <c r="E45" s="22">
        <v>3.88</v>
      </c>
      <c r="F45" s="19">
        <v>13488</v>
      </c>
      <c r="G45" s="20">
        <v>7.51</v>
      </c>
      <c r="H45" s="21">
        <v>180082</v>
      </c>
      <c r="I45" s="22">
        <v>7.7</v>
      </c>
    </row>
    <row r="46" spans="1:9" ht="15" customHeight="1" thickBot="1" x14ac:dyDescent="0.35">
      <c r="A46" s="24" t="s">
        <v>15</v>
      </c>
      <c r="B46" s="25">
        <v>3658</v>
      </c>
      <c r="C46" s="26">
        <v>3.7759999999999998</v>
      </c>
      <c r="D46" s="27">
        <v>31262</v>
      </c>
      <c r="E46" s="28">
        <v>4.01</v>
      </c>
      <c r="F46" s="25">
        <v>13456</v>
      </c>
      <c r="G46" s="26">
        <v>7.81</v>
      </c>
      <c r="H46" s="27">
        <v>177552</v>
      </c>
      <c r="I46" s="28">
        <v>7.6239999999999997</v>
      </c>
    </row>
    <row r="47" spans="1:9" ht="15.75" customHeight="1" thickTop="1" thickBot="1" x14ac:dyDescent="0.35">
      <c r="A47" s="9" t="s">
        <v>10</v>
      </c>
      <c r="B47" s="10">
        <f>AVERAGE((B42-$C$12)/$C$12,(B43-$C$12)/$C$12,(B44-$C$12)/$C$12,(B45-$C$12)/$C$12,(B46-$C$12)/$C$12)</f>
        <v>3.1168831168831169E-2</v>
      </c>
      <c r="C47" s="11">
        <f>AVERAGE(C42:C46)</f>
        <v>3.9137999999999997</v>
      </c>
      <c r="D47" s="10">
        <f>AVERAGE((D42-$E$12)/$E$12,(D43-$E$12)/$E$12,(D44-$E$12)/$E$12,(D45-$E$12)/$E$12,(D46-$E$12)/$E$12)</f>
        <v>0.16931090936151214</v>
      </c>
      <c r="E47" s="11">
        <f>AVERAGE(E42:E46)</f>
        <v>3.8298000000000001</v>
      </c>
      <c r="F47" s="10">
        <f>AVERAGE((F42-$G$12)/$G$12,(F43-$G$12)/$G$12,(F44-$G$12)/$G$12,(F45-$G$12)/$G$12,(F46-$G$12)/$G$12)</f>
        <v>1.2910021065302438E-2</v>
      </c>
      <c r="G47" s="11">
        <f>AVERAGE(G42:G46)</f>
        <v>7.5558000000000005</v>
      </c>
      <c r="H47" s="10">
        <f>AVERAGE((H42-$I$12)/$I$12,(H43-$I$12)/$I$12,(H44-$I$12)/$I$12,(H45-$I$12)/$I$12,(H46-$I$12)/$I$12)</f>
        <v>0.19151254251700683</v>
      </c>
      <c r="I47" s="11">
        <f>AVERAGE(I42:I46)</f>
        <v>7.5998000000000001</v>
      </c>
    </row>
    <row r="48" spans="1:9" ht="15.75" customHeight="1" thickBot="1" x14ac:dyDescent="0.35">
      <c r="A48" s="23" t="s">
        <v>16</v>
      </c>
      <c r="B48" s="29">
        <f>STDEV((B42-$C$12)/$C$12,(B43-$C$12)/$C$12,(B44-$C$12)/$C$12,(B45-$C$12)/$C$12,(B46-$C$12)/$C$12)</f>
        <v>3.6462753903925321E-3</v>
      </c>
      <c r="C48" s="29">
        <f>STDEV(C42:C46)</f>
        <v>0.24275543248298273</v>
      </c>
      <c r="D48" s="29">
        <f>STDEV((D42-$E$12)/$E$12,(D43-$E$12)/$E$12,(D44-$E$12)/$E$12,(D45-$E$12)/$E$12,(D46-$E$12)/$E$12)</f>
        <v>1.0798427531869935E-2</v>
      </c>
      <c r="E48" s="29">
        <f>STDEV(E42:E46)</f>
        <v>0.11832244081322857</v>
      </c>
      <c r="F48" s="29">
        <f>STDEV((F42-$G$12)/$G$12,(F43-$G$12)/$G$12,(F44-$G$12)/$G$12,(F45-$G$12)/$G$12,(F46-$G$12)/$G$12)</f>
        <v>1.1577119507475983E-3</v>
      </c>
      <c r="G48" s="29">
        <f>STDEV(G42:G46)</f>
        <v>0.15281099436886059</v>
      </c>
      <c r="H48" s="29">
        <f>STDEV((H42-$I$12)/$I$12,(H43-$I$12)/$I$12,(H44-$I$12)/$I$12,(H45-$I$12)/$I$12,(H46-$I$12)/$I$12)</f>
        <v>1.0723628205498183E-2</v>
      </c>
      <c r="I48" s="29">
        <f>STDEV(I42:I46)</f>
        <v>0.20064196968730172</v>
      </c>
    </row>
    <row r="49" spans="1:15" ht="24" customHeight="1" x14ac:dyDescent="0.3"/>
    <row r="50" spans="1:15" ht="32.25" customHeight="1" thickBot="1" x14ac:dyDescent="0.5">
      <c r="A50" s="48" t="s">
        <v>24</v>
      </c>
      <c r="B50" s="91" t="s">
        <v>0</v>
      </c>
      <c r="C50" s="91"/>
      <c r="D50" s="91" t="s">
        <v>1</v>
      </c>
      <c r="E50" s="91"/>
      <c r="F50" s="91" t="s">
        <v>2</v>
      </c>
      <c r="G50" s="91"/>
      <c r="H50" s="91" t="s">
        <v>3</v>
      </c>
      <c r="I50" s="91"/>
    </row>
    <row r="51" spans="1:15" ht="15.75" customHeight="1" x14ac:dyDescent="0.3">
      <c r="A51" s="84" t="s">
        <v>20</v>
      </c>
      <c r="B51" s="12" t="s">
        <v>5</v>
      </c>
      <c r="C51" s="13">
        <v>20</v>
      </c>
      <c r="D51" s="14" t="s">
        <v>5</v>
      </c>
      <c r="E51" s="13">
        <v>20</v>
      </c>
      <c r="F51" s="14" t="s">
        <v>5</v>
      </c>
      <c r="G51" s="13">
        <v>30</v>
      </c>
      <c r="H51" s="14" t="s">
        <v>5</v>
      </c>
      <c r="I51" s="13">
        <v>30</v>
      </c>
    </row>
    <row r="52" spans="1:15" ht="15.75" customHeight="1" x14ac:dyDescent="0.3">
      <c r="A52" s="92"/>
      <c r="B52" s="87" t="s">
        <v>6</v>
      </c>
      <c r="C52" s="95">
        <v>3542</v>
      </c>
      <c r="D52" s="87" t="s">
        <v>6</v>
      </c>
      <c r="E52" s="95">
        <v>26876</v>
      </c>
      <c r="F52" s="87" t="s">
        <v>6</v>
      </c>
      <c r="G52" s="95">
        <v>13292</v>
      </c>
      <c r="H52" s="87" t="s">
        <v>6</v>
      </c>
      <c r="I52" s="89">
        <v>150528</v>
      </c>
    </row>
    <row r="53" spans="1:15" ht="15.75" customHeight="1" thickBot="1" x14ac:dyDescent="0.35">
      <c r="A53" s="92"/>
      <c r="B53" s="94"/>
      <c r="C53" s="96"/>
      <c r="D53" s="94"/>
      <c r="E53" s="96"/>
      <c r="F53" s="94"/>
      <c r="G53" s="96"/>
      <c r="H53" s="94"/>
      <c r="I53" s="107"/>
    </row>
    <row r="54" spans="1:15" ht="15.75" customHeight="1" thickTop="1" thickBot="1" x14ac:dyDescent="0.35">
      <c r="A54" s="93"/>
      <c r="B54" s="15" t="s">
        <v>7</v>
      </c>
      <c r="C54" s="16" t="s">
        <v>8</v>
      </c>
      <c r="D54" s="15" t="s">
        <v>7</v>
      </c>
      <c r="E54" s="17" t="s">
        <v>8</v>
      </c>
      <c r="F54" s="15" t="s">
        <v>7</v>
      </c>
      <c r="G54" s="16" t="s">
        <v>8</v>
      </c>
      <c r="H54" s="15" t="s">
        <v>7</v>
      </c>
      <c r="I54" s="17" t="s">
        <v>8</v>
      </c>
      <c r="O54" t="str">
        <f>J68</f>
        <v>Media</v>
      </c>
    </row>
    <row r="55" spans="1:15" ht="22.95" customHeight="1" thickTop="1" thickBot="1" x14ac:dyDescent="0.35">
      <c r="A55" s="18" t="s">
        <v>11</v>
      </c>
      <c r="B55" s="19">
        <v>3592</v>
      </c>
      <c r="C55" s="20">
        <v>3.8639999999999999</v>
      </c>
      <c r="D55" s="21">
        <v>30736</v>
      </c>
      <c r="E55" s="22">
        <v>3.92</v>
      </c>
      <c r="F55" s="19">
        <v>13388</v>
      </c>
      <c r="G55" s="20">
        <v>7.6</v>
      </c>
      <c r="H55" s="21">
        <v>179000</v>
      </c>
      <c r="I55" s="22">
        <v>7.84</v>
      </c>
      <c r="N55" s="54" t="str">
        <f>A69</f>
        <v>Cruce=OX2, E=1, kBest=2, kWorst=3</v>
      </c>
      <c r="O55" s="42">
        <f>J69</f>
        <v>0.13319249595987123</v>
      </c>
    </row>
    <row r="56" spans="1:15" ht="15.75" customHeight="1" thickTop="1" thickBot="1" x14ac:dyDescent="0.35">
      <c r="A56" s="23" t="s">
        <v>12</v>
      </c>
      <c r="B56" s="19">
        <v>3662</v>
      </c>
      <c r="C56" s="20">
        <v>3.94</v>
      </c>
      <c r="D56" s="21">
        <v>31272</v>
      </c>
      <c r="E56" s="22">
        <v>4.09</v>
      </c>
      <c r="F56" s="19">
        <v>13400</v>
      </c>
      <c r="G56" s="20">
        <v>8.1</v>
      </c>
      <c r="H56" s="21">
        <v>180674</v>
      </c>
      <c r="I56" s="22">
        <v>7.65</v>
      </c>
      <c r="N56" s="54" t="str">
        <f t="shared" ref="N56:N58" si="0">A70</f>
        <v>Cruce=OX2, E=1, kBest=3, kWorst=3</v>
      </c>
      <c r="O56" s="42">
        <f>J70</f>
        <v>9.3057275778411996E-2</v>
      </c>
    </row>
    <row r="57" spans="1:15" ht="15.75" customHeight="1" thickTop="1" thickBot="1" x14ac:dyDescent="0.35">
      <c r="A57" s="23" t="s">
        <v>13</v>
      </c>
      <c r="B57" s="19">
        <v>3608</v>
      </c>
      <c r="C57" s="20">
        <v>4.25</v>
      </c>
      <c r="D57" s="21">
        <v>26876</v>
      </c>
      <c r="E57" s="22">
        <v>3.96</v>
      </c>
      <c r="F57" s="19">
        <v>13414</v>
      </c>
      <c r="G57" s="20">
        <v>8</v>
      </c>
      <c r="H57" s="21">
        <v>178340</v>
      </c>
      <c r="I57" s="22">
        <v>8.15</v>
      </c>
      <c r="N57" s="54" t="str">
        <f t="shared" si="0"/>
        <v>Cruce=OX2, E=2, kBest=2, kWorst=3</v>
      </c>
      <c r="O57" s="42">
        <f>J71</f>
        <v>0.10122557602816315</v>
      </c>
    </row>
    <row r="58" spans="1:15" ht="15.75" customHeight="1" thickTop="1" thickBot="1" x14ac:dyDescent="0.35">
      <c r="A58" s="23" t="s">
        <v>14</v>
      </c>
      <c r="B58" s="19">
        <v>3614</v>
      </c>
      <c r="C58" s="20">
        <v>3.99</v>
      </c>
      <c r="D58" s="21">
        <v>29514</v>
      </c>
      <c r="E58" s="22">
        <v>4.04</v>
      </c>
      <c r="F58" s="19">
        <v>13374</v>
      </c>
      <c r="G58" s="20">
        <v>8.08</v>
      </c>
      <c r="H58" s="21">
        <v>178392</v>
      </c>
      <c r="I58" s="22">
        <v>8.2200000000000006</v>
      </c>
      <c r="N58" s="54" t="str">
        <f t="shared" si="0"/>
        <v>Cruce=OX2, E=2, kBest=3, kWorst=3</v>
      </c>
      <c r="O58" s="42">
        <f>J72</f>
        <v>8.2873045156951458E-2</v>
      </c>
    </row>
    <row r="59" spans="1:15" ht="15.75" customHeight="1" thickBot="1" x14ac:dyDescent="0.35">
      <c r="A59" s="24" t="s">
        <v>15</v>
      </c>
      <c r="B59" s="25">
        <v>3602</v>
      </c>
      <c r="C59" s="26">
        <v>4.2300000000000004</v>
      </c>
      <c r="D59" s="27">
        <v>31130</v>
      </c>
      <c r="E59" s="28">
        <v>4.01</v>
      </c>
      <c r="F59" s="25">
        <v>13474</v>
      </c>
      <c r="G59" s="26">
        <v>8.0830000000000002</v>
      </c>
      <c r="H59" s="27">
        <v>178566</v>
      </c>
      <c r="I59" s="28">
        <v>7.8129999999999997</v>
      </c>
    </row>
    <row r="60" spans="1:15" ht="15.75" customHeight="1" thickTop="1" thickBot="1" x14ac:dyDescent="0.35">
      <c r="A60" s="9" t="s">
        <v>10</v>
      </c>
      <c r="B60" s="10">
        <f>AVERAGE((B55-$C$12)/$C$12,(B56-$C$12)/$C$12,(B57-$C$12)/$C$12,(B58-$C$12)/$C$12,(B59-$C$12)/$C$12)</f>
        <v>2.0779220779220779E-2</v>
      </c>
      <c r="C60" s="11">
        <f>AVERAGE(C55:C59)</f>
        <v>4.0548000000000002</v>
      </c>
      <c r="D60" s="10">
        <f>AVERAGE((D55-$E$12)/$E$12,(D56-$E$12)/$E$12,(D57-$E$12)/$E$12,(D58-$E$12)/$E$12,(D59-$E$12)/$E$12)</f>
        <v>0.11272510790296175</v>
      </c>
      <c r="E60" s="11">
        <f>AVERAGE(E55:E59)</f>
        <v>4.0039999999999996</v>
      </c>
      <c r="F60" s="10">
        <f>AVERAGE((F55-$G$12)/$G$12,(F56-$G$12)/$G$12,(F57-$G$12)/$G$12,(F58-$G$12)/$G$12,(F59-$G$12)/$G$12)</f>
        <v>8.8775203129702086E-3</v>
      </c>
      <c r="G60" s="11">
        <f>AVERAGE(G55:G59)</f>
        <v>7.9725999999999999</v>
      </c>
      <c r="H60" s="10">
        <f>AVERAGE((H55-$I$12)/$I$12,(H56-$I$12)/$I$12,(H57-$I$12)/$I$12,(H58-$I$12)/$I$12,(H59-$I$12)/$I$12)</f>
        <v>0.18911033163265306</v>
      </c>
      <c r="I60" s="11">
        <f>AVERAGE(I55:I59)</f>
        <v>7.9346000000000005</v>
      </c>
    </row>
    <row r="61" spans="1:15" ht="15.75" customHeight="1" thickBot="1" x14ac:dyDescent="0.35">
      <c r="A61" s="23" t="s">
        <v>16</v>
      </c>
      <c r="B61" s="29">
        <f>STDEV((B55-$C$12)/$C$12,(B56-$C$12)/$C$12,(B57-$C$12)/$C$12,(B58-$C$12)/$C$12,(B59-$C$12)/$C$12)</f>
        <v>7.6738779304774537E-3</v>
      </c>
      <c r="C61" s="29">
        <f>STDEV(C55:C59)</f>
        <v>0.17505770477188384</v>
      </c>
      <c r="D61" s="29">
        <f>STDEV((D55-$E$12)/$E$12,(D56-$E$12)/$E$12,(D57-$E$12)/$E$12,(D58-$E$12)/$E$12,(D59-$E$12)/$E$12)</f>
        <v>6.807014222113271E-2</v>
      </c>
      <c r="E61" s="29">
        <f>STDEV(E55:E59)</f>
        <v>6.6558245169174926E-2</v>
      </c>
      <c r="F61" s="29">
        <f>STDEV((F55-$G$12)/$G$12,(F56-$G$12)/$G$12,(F57-$G$12)/$G$12,(F58-$G$12)/$G$12,(F59-$G$12)/$G$12)</f>
        <v>2.911827035865728E-3</v>
      </c>
      <c r="G61" s="29">
        <f>STDEV(G55:G59)</f>
        <v>0.21185797129209005</v>
      </c>
      <c r="H61" s="29">
        <f>STDEV((H55-$I$12)/$I$12,(H56-$I$12)/$I$12,(H57-$I$12)/$I$12,(H58-$I$12)/$I$12,(H59-$I$12)/$I$12)</f>
        <v>6.4714395006243578E-3</v>
      </c>
      <c r="I61" s="29">
        <f>STDEV(I55:I59)</f>
        <v>0.24113440235686009</v>
      </c>
    </row>
    <row r="62" spans="1:15" ht="15.75" customHeight="1" x14ac:dyDescent="0.3"/>
    <row r="63" spans="1:15" ht="15.75" customHeight="1" x14ac:dyDescent="0.3"/>
    <row r="64" spans="1:15" ht="15.75" customHeight="1" x14ac:dyDescent="0.3"/>
    <row r="65" spans="1:27" ht="15.75" customHeight="1" x14ac:dyDescent="0.3"/>
    <row r="66" spans="1:27" ht="15.75" customHeight="1" thickBot="1" x14ac:dyDescent="0.35"/>
    <row r="67" spans="1:27" ht="15.75" customHeight="1" thickTop="1" thickBot="1" x14ac:dyDescent="0.35">
      <c r="A67" s="75" t="s">
        <v>33</v>
      </c>
      <c r="B67" s="76" t="s">
        <v>0</v>
      </c>
      <c r="C67" s="77"/>
      <c r="D67" s="78" t="s">
        <v>1</v>
      </c>
      <c r="E67" s="77"/>
      <c r="F67" s="78" t="s">
        <v>2</v>
      </c>
      <c r="G67" s="77"/>
      <c r="H67" s="78" t="s">
        <v>3</v>
      </c>
      <c r="I67" s="79"/>
      <c r="J67" s="80" t="s">
        <v>19</v>
      </c>
      <c r="K67" s="81"/>
    </row>
    <row r="68" spans="1:27" ht="15.75" customHeight="1" thickBot="1" x14ac:dyDescent="0.35">
      <c r="A68" s="75"/>
      <c r="B68" s="15" t="s">
        <v>10</v>
      </c>
      <c r="C68" s="16" t="s">
        <v>8</v>
      </c>
      <c r="D68" s="15" t="s">
        <v>10</v>
      </c>
      <c r="E68" s="17" t="s">
        <v>8</v>
      </c>
      <c r="F68" s="15" t="s">
        <v>10</v>
      </c>
      <c r="G68" s="16" t="s">
        <v>8</v>
      </c>
      <c r="H68" s="15" t="s">
        <v>10</v>
      </c>
      <c r="I68" s="17" t="s">
        <v>8</v>
      </c>
      <c r="J68" s="31" t="s">
        <v>10</v>
      </c>
      <c r="K68" s="32" t="s">
        <v>8</v>
      </c>
    </row>
    <row r="69" spans="1:27" ht="30" thickTop="1" thickBot="1" x14ac:dyDescent="0.35">
      <c r="A69" s="55" t="s">
        <v>38</v>
      </c>
      <c r="B69" s="50">
        <f>B20</f>
        <v>2.9361942405420664E-2</v>
      </c>
      <c r="C69" s="29">
        <f t="shared" ref="C69:I69" si="1">C20</f>
        <v>3.8357999999999999</v>
      </c>
      <c r="D69" s="43">
        <f t="shared" si="1"/>
        <v>0.17407352284566152</v>
      </c>
      <c r="E69" s="29">
        <f t="shared" si="1"/>
        <v>3.8718000000000004</v>
      </c>
      <c r="F69" s="43">
        <f t="shared" si="1"/>
        <v>1.5167017755040627E-2</v>
      </c>
      <c r="G69" s="29">
        <f t="shared" si="1"/>
        <v>7.6542000000000003</v>
      </c>
      <c r="H69" s="43">
        <f t="shared" si="1"/>
        <v>0.21033694727891156</v>
      </c>
      <c r="I69" s="29">
        <f t="shared" si="1"/>
        <v>7.7462799999999987</v>
      </c>
      <c r="J69" s="45">
        <f>AVERAGE(B68,D69,F69,H69)</f>
        <v>0.13319249595987123</v>
      </c>
      <c r="K69" s="34">
        <f t="shared" ref="K69:K72" si="2">AVERAGE(C69,E69,G69,I69)</f>
        <v>5.7770200000000003</v>
      </c>
    </row>
    <row r="70" spans="1:27" ht="30" thickTop="1" thickBot="1" x14ac:dyDescent="0.35">
      <c r="A70" s="54" t="s">
        <v>39</v>
      </c>
      <c r="B70" s="50">
        <f>B33</f>
        <v>2.2360248447204967E-2</v>
      </c>
      <c r="C70" s="29">
        <f t="shared" ref="C70:I70" si="3">C33</f>
        <v>3.8712000000000004</v>
      </c>
      <c r="D70" s="43">
        <f t="shared" si="3"/>
        <v>0.13920226224140497</v>
      </c>
      <c r="E70" s="29">
        <f t="shared" si="3"/>
        <v>3.9299999999999997</v>
      </c>
      <c r="F70" s="43">
        <f t="shared" si="3"/>
        <v>1.2609088173337345E-2</v>
      </c>
      <c r="G70" s="29">
        <f t="shared" si="3"/>
        <v>7.7694000000000001</v>
      </c>
      <c r="H70" s="43">
        <f t="shared" si="3"/>
        <v>0.19805750425170068</v>
      </c>
      <c r="I70" s="29">
        <f t="shared" si="3"/>
        <v>7.7964000000000002</v>
      </c>
      <c r="J70" s="45">
        <f t="shared" ref="J70:J72" si="4">AVERAGE(B70,D70,F70,H70)</f>
        <v>9.3057275778411996E-2</v>
      </c>
      <c r="K70" s="34">
        <f t="shared" si="2"/>
        <v>5.8417499999999993</v>
      </c>
    </row>
    <row r="71" spans="1:27" ht="30" thickTop="1" thickBot="1" x14ac:dyDescent="0.35">
      <c r="A71" s="54" t="s">
        <v>40</v>
      </c>
      <c r="B71" s="51">
        <f>B47</f>
        <v>3.1168831168831169E-2</v>
      </c>
      <c r="C71" s="35">
        <f t="shared" ref="C71:I71" si="5">C47</f>
        <v>3.9137999999999997</v>
      </c>
      <c r="D71" s="44">
        <f t="shared" si="5"/>
        <v>0.16931090936151214</v>
      </c>
      <c r="E71" s="35">
        <f t="shared" si="5"/>
        <v>3.8298000000000001</v>
      </c>
      <c r="F71" s="44">
        <f t="shared" si="5"/>
        <v>1.2910021065302438E-2</v>
      </c>
      <c r="G71" s="35">
        <f t="shared" si="5"/>
        <v>7.5558000000000005</v>
      </c>
      <c r="H71" s="44">
        <f t="shared" si="5"/>
        <v>0.19151254251700683</v>
      </c>
      <c r="I71" s="35">
        <f t="shared" si="5"/>
        <v>7.5998000000000001</v>
      </c>
      <c r="J71" s="45">
        <f t="shared" si="4"/>
        <v>0.10122557602816315</v>
      </c>
      <c r="K71" s="34">
        <f t="shared" si="2"/>
        <v>5.7248000000000001</v>
      </c>
    </row>
    <row r="72" spans="1:27" ht="58.8" thickTop="1" thickBot="1" x14ac:dyDescent="0.35">
      <c r="A72" s="54" t="s">
        <v>41</v>
      </c>
      <c r="B72" s="51">
        <f>B60</f>
        <v>2.0779220779220779E-2</v>
      </c>
      <c r="C72" s="35">
        <f t="shared" ref="C72:I72" si="6">C60</f>
        <v>4.0548000000000002</v>
      </c>
      <c r="D72" s="44">
        <f t="shared" si="6"/>
        <v>0.11272510790296175</v>
      </c>
      <c r="E72" s="35">
        <f t="shared" si="6"/>
        <v>4.0039999999999996</v>
      </c>
      <c r="F72" s="44">
        <f t="shared" si="6"/>
        <v>8.8775203129702086E-3</v>
      </c>
      <c r="G72" s="35">
        <f t="shared" si="6"/>
        <v>7.9725999999999999</v>
      </c>
      <c r="H72" s="44">
        <f t="shared" si="6"/>
        <v>0.18911033163265306</v>
      </c>
      <c r="I72" s="35">
        <f t="shared" si="6"/>
        <v>7.9346000000000005</v>
      </c>
      <c r="J72" s="45">
        <f t="shared" si="4"/>
        <v>8.2873045156951458E-2</v>
      </c>
      <c r="K72" s="34">
        <f t="shared" si="2"/>
        <v>5.9914999999999994</v>
      </c>
      <c r="Y72" s="54" t="s">
        <v>41</v>
      </c>
      <c r="Z72" s="42">
        <f t="shared" ref="Z72:AA72" si="7">J72</f>
        <v>8.2873045156951458E-2</v>
      </c>
      <c r="AA72" s="73">
        <f t="shared" si="7"/>
        <v>5.9914999999999994</v>
      </c>
    </row>
    <row r="73" spans="1:27" ht="61.2" thickTop="1" thickBot="1" x14ac:dyDescent="0.55000000000000004">
      <c r="A73" s="30"/>
      <c r="Y73" s="54" t="s">
        <v>37</v>
      </c>
      <c r="Z73" s="42">
        <f t="shared" ref="Z73:AA73" si="8">J146</f>
        <v>7.2317833124453404E-2</v>
      </c>
      <c r="AA73" s="73">
        <f t="shared" si="8"/>
        <v>5.8832500000000003</v>
      </c>
    </row>
    <row r="74" spans="1:27" ht="15.75" customHeight="1" thickTop="1" x14ac:dyDescent="0.3"/>
    <row r="75" spans="1:27" ht="15.75" customHeight="1" thickBot="1" x14ac:dyDescent="0.35"/>
    <row r="76" spans="1:27" ht="15.75" customHeight="1" thickTop="1" thickBot="1" x14ac:dyDescent="0.35">
      <c r="A76" s="75" t="s">
        <v>33</v>
      </c>
      <c r="B76" s="76" t="s">
        <v>0</v>
      </c>
      <c r="C76" s="77"/>
      <c r="D76" s="78" t="s">
        <v>1</v>
      </c>
      <c r="E76" s="77"/>
      <c r="F76" s="78" t="s">
        <v>2</v>
      </c>
      <c r="G76" s="77"/>
      <c r="H76" s="78" t="s">
        <v>3</v>
      </c>
      <c r="I76" s="79"/>
      <c r="J76" s="80" t="s">
        <v>17</v>
      </c>
      <c r="K76" s="81"/>
    </row>
    <row r="77" spans="1:27" ht="15.75" customHeight="1" thickBot="1" x14ac:dyDescent="0.35">
      <c r="A77" s="75"/>
      <c r="B77" s="15" t="s">
        <v>18</v>
      </c>
      <c r="C77" s="16" t="s">
        <v>8</v>
      </c>
      <c r="D77" s="15" t="s">
        <v>18</v>
      </c>
      <c r="E77" s="17" t="s">
        <v>8</v>
      </c>
      <c r="F77" s="15" t="s">
        <v>18</v>
      </c>
      <c r="G77" s="16" t="s">
        <v>8</v>
      </c>
      <c r="H77" s="15" t="s">
        <v>18</v>
      </c>
      <c r="I77" s="17" t="s">
        <v>8</v>
      </c>
      <c r="J77" s="31" t="s">
        <v>18</v>
      </c>
      <c r="K77" s="32" t="s">
        <v>8</v>
      </c>
    </row>
    <row r="78" spans="1:27" ht="30" thickTop="1" thickBot="1" x14ac:dyDescent="0.35">
      <c r="A78" s="55" t="s">
        <v>38</v>
      </c>
      <c r="B78" s="52">
        <f>B21</f>
        <v>2.8513565608023939E-3</v>
      </c>
      <c r="C78" s="52">
        <f t="shared" ref="C78:I78" si="9">C21</f>
        <v>0.18132208911216507</v>
      </c>
      <c r="D78" s="52">
        <f t="shared" si="9"/>
        <v>2.3223249715646564E-2</v>
      </c>
      <c r="E78" s="52">
        <f t="shared" si="9"/>
        <v>0.24169546954794177</v>
      </c>
      <c r="F78" s="52">
        <f t="shared" si="9"/>
        <v>1.9601106312948629E-3</v>
      </c>
      <c r="G78" s="52">
        <f t="shared" si="9"/>
        <v>0.28767377356999374</v>
      </c>
      <c r="H78" s="52">
        <f t="shared" si="9"/>
        <v>1.1526737680933983E-2</v>
      </c>
      <c r="I78" s="52">
        <f t="shared" si="9"/>
        <v>0.11424575265628059</v>
      </c>
      <c r="J78" s="33">
        <f t="shared" ref="J78:K78" si="10">AVERAGE(B78,D78,F78,H78)</f>
        <v>9.8903636471694509E-3</v>
      </c>
      <c r="K78" s="34">
        <f t="shared" si="10"/>
        <v>0.20623427122159527</v>
      </c>
    </row>
    <row r="79" spans="1:27" ht="30" thickTop="1" thickBot="1" x14ac:dyDescent="0.35">
      <c r="A79" s="54" t="s">
        <v>39</v>
      </c>
      <c r="B79" s="52">
        <f>B34</f>
        <v>1.1708888398265233E-3</v>
      </c>
      <c r="C79" s="52">
        <f t="shared" ref="C79:I79" si="11">C34</f>
        <v>0.1776209447109208</v>
      </c>
      <c r="D79" s="52">
        <f t="shared" si="11"/>
        <v>4.0975956709875083E-2</v>
      </c>
      <c r="E79" s="52">
        <f t="shared" si="11"/>
        <v>0.26684546089450339</v>
      </c>
      <c r="F79" s="52">
        <f t="shared" si="11"/>
        <v>2.2302558721469749E-3</v>
      </c>
      <c r="G79" s="52">
        <f t="shared" si="11"/>
        <v>0.37769935133648286</v>
      </c>
      <c r="H79" s="52">
        <f t="shared" si="11"/>
        <v>5.4483388542684481E-3</v>
      </c>
      <c r="I79" s="52">
        <f t="shared" si="11"/>
        <v>0.33966277393909394</v>
      </c>
      <c r="J79" s="33">
        <f t="shared" ref="J79:K81" si="12">AVERAGE(B79,D79,F79,H79)</f>
        <v>1.2456360069029258E-2</v>
      </c>
      <c r="K79" s="34">
        <f t="shared" si="12"/>
        <v>0.2904571327202502</v>
      </c>
    </row>
    <row r="80" spans="1:27" ht="30" thickTop="1" thickBot="1" x14ac:dyDescent="0.35">
      <c r="A80" s="54" t="s">
        <v>40</v>
      </c>
      <c r="B80" s="53">
        <f>B48</f>
        <v>3.6462753903925321E-3</v>
      </c>
      <c r="C80" s="53">
        <f t="shared" ref="C80:I80" si="13">C48</f>
        <v>0.24275543248298273</v>
      </c>
      <c r="D80" s="53">
        <f t="shared" si="13"/>
        <v>1.0798427531869935E-2</v>
      </c>
      <c r="E80" s="53">
        <f t="shared" si="13"/>
        <v>0.11832244081322857</v>
      </c>
      <c r="F80" s="53">
        <f t="shared" si="13"/>
        <v>1.1577119507475983E-3</v>
      </c>
      <c r="G80" s="53">
        <f t="shared" si="13"/>
        <v>0.15281099436886059</v>
      </c>
      <c r="H80" s="53">
        <f t="shared" si="13"/>
        <v>1.0723628205498183E-2</v>
      </c>
      <c r="I80" s="53">
        <f t="shared" si="13"/>
        <v>0.20064196968730172</v>
      </c>
      <c r="J80" s="33">
        <f t="shared" si="12"/>
        <v>6.5815107696270622E-3</v>
      </c>
      <c r="K80" s="34">
        <f t="shared" si="12"/>
        <v>0.17863270933809342</v>
      </c>
    </row>
    <row r="81" spans="1:11" ht="30" thickTop="1" thickBot="1" x14ac:dyDescent="0.35">
      <c r="A81" s="54" t="s">
        <v>41</v>
      </c>
      <c r="B81" s="53">
        <f>B61</f>
        <v>7.6738779304774537E-3</v>
      </c>
      <c r="C81" s="53">
        <f t="shared" ref="C81:I81" si="14">C61</f>
        <v>0.17505770477188384</v>
      </c>
      <c r="D81" s="53">
        <f t="shared" si="14"/>
        <v>6.807014222113271E-2</v>
      </c>
      <c r="E81" s="53">
        <f t="shared" si="14"/>
        <v>6.6558245169174926E-2</v>
      </c>
      <c r="F81" s="53">
        <f t="shared" si="14"/>
        <v>2.911827035865728E-3</v>
      </c>
      <c r="G81" s="53">
        <f t="shared" si="14"/>
        <v>0.21185797129209005</v>
      </c>
      <c r="H81" s="53">
        <f t="shared" si="14"/>
        <v>6.4714395006243578E-3</v>
      </c>
      <c r="I81" s="53">
        <f t="shared" si="14"/>
        <v>0.24113440235686009</v>
      </c>
      <c r="J81" s="33">
        <f t="shared" si="12"/>
        <v>2.1281821672025063E-2</v>
      </c>
      <c r="K81" s="34">
        <f t="shared" si="12"/>
        <v>0.17365208089750223</v>
      </c>
    </row>
    <row r="82" spans="1:11" thickTop="1" x14ac:dyDescent="0.3"/>
    <row r="83" spans="1:11" ht="34.200000000000003" thickBot="1" x14ac:dyDescent="0.7">
      <c r="A83" s="56" t="s">
        <v>25</v>
      </c>
    </row>
    <row r="84" spans="1:11" ht="31.2" thickBot="1" x14ac:dyDescent="0.5">
      <c r="A84" s="58" t="s">
        <v>26</v>
      </c>
      <c r="B84" s="108" t="s">
        <v>0</v>
      </c>
      <c r="C84" s="109"/>
      <c r="D84" s="108" t="s">
        <v>1</v>
      </c>
      <c r="E84" s="109"/>
      <c r="F84" s="108" t="s">
        <v>2</v>
      </c>
      <c r="G84" s="109"/>
      <c r="H84" s="108" t="s">
        <v>3</v>
      </c>
      <c r="I84" s="110"/>
    </row>
    <row r="85" spans="1:11" ht="15.75" customHeight="1" x14ac:dyDescent="0.3">
      <c r="A85" s="111" t="s">
        <v>20</v>
      </c>
      <c r="B85" s="12" t="s">
        <v>5</v>
      </c>
      <c r="C85" s="13">
        <v>20</v>
      </c>
      <c r="D85" s="14" t="s">
        <v>5</v>
      </c>
      <c r="E85" s="13">
        <v>20</v>
      </c>
      <c r="F85" s="14" t="s">
        <v>5</v>
      </c>
      <c r="G85" s="13">
        <v>30</v>
      </c>
      <c r="H85" s="14" t="s">
        <v>5</v>
      </c>
      <c r="I85" s="59">
        <v>30</v>
      </c>
    </row>
    <row r="86" spans="1:11" ht="15.75" customHeight="1" x14ac:dyDescent="0.3">
      <c r="A86" s="112"/>
      <c r="B86" s="87" t="s">
        <v>6</v>
      </c>
      <c r="C86" s="89">
        <v>3542</v>
      </c>
      <c r="D86" s="87" t="s">
        <v>6</v>
      </c>
      <c r="E86" s="89">
        <v>26876</v>
      </c>
      <c r="F86" s="87" t="s">
        <v>6</v>
      </c>
      <c r="G86" s="89">
        <v>13292</v>
      </c>
      <c r="H86" s="87" t="s">
        <v>6</v>
      </c>
      <c r="I86" s="114">
        <v>150528</v>
      </c>
    </row>
    <row r="87" spans="1:11" thickBot="1" x14ac:dyDescent="0.35">
      <c r="A87" s="112"/>
      <c r="B87" s="88"/>
      <c r="C87" s="90"/>
      <c r="D87" s="88"/>
      <c r="E87" s="90"/>
      <c r="F87" s="88"/>
      <c r="G87" s="90"/>
      <c r="H87" s="88"/>
      <c r="I87" s="115"/>
    </row>
    <row r="88" spans="1:11" ht="15.75" customHeight="1" thickTop="1" thickBot="1" x14ac:dyDescent="0.35">
      <c r="A88" s="113"/>
      <c r="B88" s="60" t="s">
        <v>7</v>
      </c>
      <c r="C88" s="16" t="s">
        <v>8</v>
      </c>
      <c r="D88" s="60" t="s">
        <v>7</v>
      </c>
      <c r="E88" s="17" t="s">
        <v>8</v>
      </c>
      <c r="F88" s="60" t="s">
        <v>7</v>
      </c>
      <c r="G88" s="16" t="s">
        <v>8</v>
      </c>
      <c r="H88" s="60" t="s">
        <v>7</v>
      </c>
      <c r="I88" s="61" t="s">
        <v>8</v>
      </c>
    </row>
    <row r="89" spans="1:11" ht="15.75" customHeight="1" thickTop="1" thickBot="1" x14ac:dyDescent="0.35">
      <c r="A89" s="62" t="s">
        <v>11</v>
      </c>
      <c r="B89" s="63">
        <v>3676</v>
      </c>
      <c r="C89" s="20">
        <v>3.67</v>
      </c>
      <c r="D89" s="21">
        <v>31866</v>
      </c>
      <c r="E89" s="22">
        <v>3.86</v>
      </c>
      <c r="F89" s="63">
        <v>13474</v>
      </c>
      <c r="G89" s="20">
        <v>7.4980000000000002</v>
      </c>
      <c r="H89" s="21">
        <v>180544</v>
      </c>
      <c r="I89" s="64">
        <v>9.4290000000000003</v>
      </c>
    </row>
    <row r="90" spans="1:11" ht="15.75" customHeight="1" thickBot="1" x14ac:dyDescent="0.35">
      <c r="A90" s="65" t="s">
        <v>12</v>
      </c>
      <c r="B90" s="63">
        <v>3632</v>
      </c>
      <c r="C90" s="20">
        <v>3.7650000000000001</v>
      </c>
      <c r="D90" s="21">
        <v>31910</v>
      </c>
      <c r="E90" s="22">
        <v>3.79</v>
      </c>
      <c r="F90" s="63">
        <v>13472</v>
      </c>
      <c r="G90" s="20">
        <v>8.5389999999999997</v>
      </c>
      <c r="H90" s="21">
        <v>180584</v>
      </c>
      <c r="I90" s="64">
        <v>7.6479999999999997</v>
      </c>
      <c r="J90" s="49"/>
    </row>
    <row r="91" spans="1:11" ht="15.75" customHeight="1" thickBot="1" x14ac:dyDescent="0.35">
      <c r="A91" s="65" t="s">
        <v>13</v>
      </c>
      <c r="B91" s="63">
        <v>3648</v>
      </c>
      <c r="C91" s="20">
        <v>4.4710000000000001</v>
      </c>
      <c r="D91" s="21">
        <v>31104</v>
      </c>
      <c r="E91" s="22">
        <v>3.81</v>
      </c>
      <c r="F91" s="63">
        <v>13456</v>
      </c>
      <c r="G91" s="20">
        <v>7.5359999999999996</v>
      </c>
      <c r="H91" s="21">
        <v>179382</v>
      </c>
      <c r="I91" s="64">
        <v>7.91</v>
      </c>
    </row>
    <row r="92" spans="1:11" ht="15.75" customHeight="1" thickBot="1" x14ac:dyDescent="0.35">
      <c r="A92" s="65" t="s">
        <v>14</v>
      </c>
      <c r="B92" s="63">
        <v>3634</v>
      </c>
      <c r="C92" s="20">
        <v>3.8</v>
      </c>
      <c r="D92" s="21">
        <v>31260</v>
      </c>
      <c r="E92" s="22">
        <v>4.4329999999999998</v>
      </c>
      <c r="F92" s="63">
        <v>13460</v>
      </c>
      <c r="G92" s="20">
        <v>7.58</v>
      </c>
      <c r="H92" s="21">
        <v>181238</v>
      </c>
      <c r="I92" s="64">
        <v>7.7910000000000004</v>
      </c>
    </row>
    <row r="93" spans="1:11" ht="15.75" customHeight="1" thickBot="1" x14ac:dyDescent="0.35">
      <c r="A93" s="66" t="s">
        <v>15</v>
      </c>
      <c r="B93" s="25">
        <v>3636</v>
      </c>
      <c r="C93" s="26">
        <v>3.82</v>
      </c>
      <c r="D93" s="27">
        <v>31704</v>
      </c>
      <c r="E93" s="28">
        <v>3.8416000000000001</v>
      </c>
      <c r="F93" s="25">
        <v>13478</v>
      </c>
      <c r="G93" s="26">
        <v>8.5229999999999997</v>
      </c>
      <c r="H93" s="27">
        <v>180388</v>
      </c>
      <c r="I93" s="67">
        <v>7.8465999999999996</v>
      </c>
    </row>
    <row r="94" spans="1:11" ht="15.75" customHeight="1" thickTop="1" thickBot="1" x14ac:dyDescent="0.35">
      <c r="A94" s="68" t="s">
        <v>10</v>
      </c>
      <c r="B94" s="10">
        <f>AVERAGE((B89-$C$12)/$C$12,(B90-$C$12)/$C$12,(B91-$C$12)/$C$12,(B92-$C$12)/$C$12,(B93-$C$12)/$C$12)</f>
        <v>2.9136081309994351E-2</v>
      </c>
      <c r="C94" s="11">
        <f>AVERAGE(C89:C93)</f>
        <v>3.9051999999999998</v>
      </c>
      <c r="D94" s="10">
        <f>AVERAGE((D89-$E$12)/$E$12,(D90-$E$12)/$E$12,(D91-$E$12)/$E$12,(D92-$E$12)/$E$12,(D93-$E$12)/$E$12)</f>
        <v>0.17460931686262834</v>
      </c>
      <c r="E94" s="11">
        <f>AVERAGE(E89:E93)</f>
        <v>3.94692</v>
      </c>
      <c r="F94" s="10">
        <f>AVERAGE((F89-$G$12)/$G$12,(F90-$G$12)/$G$12,(F91-$G$12)/$G$12,(F92-$G$12)/$G$12,(F93-$G$12)/$G$12)</f>
        <v>1.3241047246464039E-2</v>
      </c>
      <c r="G94" s="11">
        <f>AVERAGE(G89:G93)</f>
        <v>7.9352</v>
      </c>
      <c r="H94" s="10">
        <f>AVERAGE((H89-$I$12)/$I$12,(H90-$I$12)/$I$12,(H91-$I$12)/$I$12,(H92-$I$12)/$I$12,(H93-$I$12)/$I$12)</f>
        <v>0.19862882653061226</v>
      </c>
      <c r="I94" s="69">
        <f>AVERAGE(I89:I93)</f>
        <v>8.1249199999999995</v>
      </c>
    </row>
    <row r="95" spans="1:11" ht="15.75" customHeight="1" thickBot="1" x14ac:dyDescent="0.35">
      <c r="A95" s="70" t="s">
        <v>16</v>
      </c>
      <c r="B95" s="71">
        <f>STDEV((B89-$C$12)/$C$12,(B90-$C$12)/$C$12,(B91-$C$12)/$C$12,(B92-$C$12)/$C$12,(B93-$C$12)/$C$12)</f>
        <v>5.1689632936627039E-3</v>
      </c>
      <c r="C95" s="71">
        <f>STDEV(C89:C93)</f>
        <v>0.32149292371683708</v>
      </c>
      <c r="D95" s="71">
        <f>STDEV((D89-$E$12)/$E$12,(D90-$E$12)/$E$12,(D91-$E$12)/$E$12,(D92-$E$12)/$E$12,(D93-$E$12)/$E$12)</f>
        <v>1.360025490639395E-2</v>
      </c>
      <c r="E95" s="71">
        <f>STDEV(E89:E93)</f>
        <v>0.27308063278086925</v>
      </c>
      <c r="F95" s="71">
        <f>STDEV((F89-$G$12)/$G$12,(F90-$G$12)/$G$12,(F91-$G$12)/$G$12,(F92-$G$12)/$G$12,(F93-$G$12)/$G$12)</f>
        <v>7.1372502110330542E-4</v>
      </c>
      <c r="G95" s="71">
        <f>STDEV(G89:G93)</f>
        <v>0.54469138050826527</v>
      </c>
      <c r="H95" s="71">
        <f>STDEV((H89-$I$12)/$I$12,(H90-$I$12)/$I$12,(H91-$I$12)/$I$12,(H92-$I$12)/$I$12,(H93-$I$12)/$I$12)</f>
        <v>4.4435623760985827E-3</v>
      </c>
      <c r="I95" s="72">
        <f>STDEV(I89:I93)</f>
        <v>0.73539658144432529</v>
      </c>
    </row>
    <row r="96" spans="1:11" ht="15.75" customHeight="1" x14ac:dyDescent="0.3">
      <c r="A96" s="37"/>
      <c r="B96" s="38"/>
      <c r="C96" s="38"/>
      <c r="D96" s="38"/>
      <c r="E96" s="38"/>
      <c r="F96" s="38"/>
      <c r="G96" s="38"/>
      <c r="H96" s="38"/>
      <c r="I96" s="38"/>
    </row>
    <row r="97" spans="1:9" ht="31.2" thickBot="1" x14ac:dyDescent="0.5">
      <c r="A97" s="48" t="s">
        <v>27</v>
      </c>
      <c r="B97" s="82" t="s">
        <v>0</v>
      </c>
      <c r="C97" s="83"/>
      <c r="D97" s="82" t="s">
        <v>1</v>
      </c>
      <c r="E97" s="83"/>
      <c r="F97" s="82" t="s">
        <v>2</v>
      </c>
      <c r="G97" s="83"/>
      <c r="H97" s="82" t="s">
        <v>3</v>
      </c>
      <c r="I97" s="83"/>
    </row>
    <row r="98" spans="1:9" ht="15.75" customHeight="1" x14ac:dyDescent="0.3">
      <c r="A98" s="84" t="s">
        <v>20</v>
      </c>
      <c r="B98" s="12" t="s">
        <v>5</v>
      </c>
      <c r="C98" s="13">
        <v>20</v>
      </c>
      <c r="D98" s="14" t="s">
        <v>5</v>
      </c>
      <c r="E98" s="13">
        <v>20</v>
      </c>
      <c r="F98" s="14" t="s">
        <v>5</v>
      </c>
      <c r="G98" s="13">
        <v>30</v>
      </c>
      <c r="H98" s="14" t="s">
        <v>5</v>
      </c>
      <c r="I98" s="13">
        <v>30</v>
      </c>
    </row>
    <row r="99" spans="1:9" ht="15.75" customHeight="1" x14ac:dyDescent="0.3">
      <c r="A99" s="98"/>
      <c r="B99" s="87" t="s">
        <v>6</v>
      </c>
      <c r="C99" s="89">
        <v>3542</v>
      </c>
      <c r="D99" s="87" t="s">
        <v>6</v>
      </c>
      <c r="E99" s="89">
        <v>26876</v>
      </c>
      <c r="F99" s="87" t="s">
        <v>6</v>
      </c>
      <c r="G99" s="89">
        <v>13292</v>
      </c>
      <c r="H99" s="87" t="s">
        <v>6</v>
      </c>
      <c r="I99" s="89">
        <v>150528</v>
      </c>
    </row>
    <row r="100" spans="1:9" ht="15.75" customHeight="1" thickBot="1" x14ac:dyDescent="0.35">
      <c r="A100" s="98"/>
      <c r="B100" s="88"/>
      <c r="C100" s="90"/>
      <c r="D100" s="88"/>
      <c r="E100" s="90"/>
      <c r="F100" s="88"/>
      <c r="G100" s="90"/>
      <c r="H100" s="88"/>
      <c r="I100" s="90"/>
    </row>
    <row r="101" spans="1:9" ht="15.75" customHeight="1" thickTop="1" thickBot="1" x14ac:dyDescent="0.35">
      <c r="A101" s="99"/>
      <c r="B101" s="15" t="s">
        <v>7</v>
      </c>
      <c r="C101" s="16" t="s">
        <v>8</v>
      </c>
      <c r="D101" s="15" t="s">
        <v>7</v>
      </c>
      <c r="E101" s="17" t="s">
        <v>8</v>
      </c>
      <c r="F101" s="15" t="s">
        <v>7</v>
      </c>
      <c r="G101" s="16" t="s">
        <v>8</v>
      </c>
      <c r="H101" s="15" t="s">
        <v>7</v>
      </c>
      <c r="I101" s="17" t="s">
        <v>8</v>
      </c>
    </row>
    <row r="102" spans="1:9" ht="15.75" customHeight="1" thickTop="1" thickBot="1" x14ac:dyDescent="0.35">
      <c r="A102" s="39" t="s">
        <v>11</v>
      </c>
      <c r="B102" s="19">
        <v>3624</v>
      </c>
      <c r="C102" s="20">
        <v>3.64</v>
      </c>
      <c r="D102" s="21">
        <v>31378</v>
      </c>
      <c r="E102" s="22">
        <v>3.98</v>
      </c>
      <c r="F102" s="19">
        <v>13400</v>
      </c>
      <c r="G102" s="20">
        <v>7.61</v>
      </c>
      <c r="H102" s="21">
        <v>180680</v>
      </c>
      <c r="I102" s="22">
        <v>7.4</v>
      </c>
    </row>
    <row r="103" spans="1:9" ht="15.75" customHeight="1" thickBot="1" x14ac:dyDescent="0.35">
      <c r="A103" s="23" t="s">
        <v>12</v>
      </c>
      <c r="B103" s="19">
        <v>3620</v>
      </c>
      <c r="C103" s="20">
        <v>4.0199999999999996</v>
      </c>
      <c r="D103" s="21">
        <v>31198</v>
      </c>
      <c r="E103" s="22">
        <v>3.7719999999999998</v>
      </c>
      <c r="F103" s="19">
        <v>13488</v>
      </c>
      <c r="G103" s="20">
        <v>7.7439999999999998</v>
      </c>
      <c r="H103" s="21">
        <v>181470</v>
      </c>
      <c r="I103" s="22">
        <v>7.63</v>
      </c>
    </row>
    <row r="104" spans="1:9" ht="15.75" customHeight="1" thickBot="1" x14ac:dyDescent="0.35">
      <c r="A104" s="23" t="s">
        <v>13</v>
      </c>
      <c r="B104" s="19">
        <v>3624</v>
      </c>
      <c r="C104" s="20">
        <v>3.73</v>
      </c>
      <c r="D104" s="21">
        <v>31116</v>
      </c>
      <c r="E104" s="22">
        <v>3.73</v>
      </c>
      <c r="F104" s="19">
        <v>13422</v>
      </c>
      <c r="G104" s="20">
        <v>7.63</v>
      </c>
      <c r="H104" s="21">
        <v>178002</v>
      </c>
      <c r="I104" s="22">
        <v>8.07</v>
      </c>
    </row>
    <row r="105" spans="1:9" ht="15.75" customHeight="1" thickBot="1" x14ac:dyDescent="0.35">
      <c r="A105" s="23" t="s">
        <v>14</v>
      </c>
      <c r="B105" s="19">
        <v>3624</v>
      </c>
      <c r="C105" s="20">
        <v>3.77</v>
      </c>
      <c r="D105" s="21">
        <v>28524</v>
      </c>
      <c r="E105" s="22">
        <v>3.74</v>
      </c>
      <c r="F105" s="19">
        <v>13398</v>
      </c>
      <c r="G105" s="20">
        <v>7.68</v>
      </c>
      <c r="H105" s="21">
        <v>178726</v>
      </c>
      <c r="I105" s="22">
        <v>7.38</v>
      </c>
    </row>
    <row r="106" spans="1:9" ht="15.75" customHeight="1" thickBot="1" x14ac:dyDescent="0.35">
      <c r="A106" s="24" t="s">
        <v>15</v>
      </c>
      <c r="B106" s="25">
        <v>3624</v>
      </c>
      <c r="C106" s="26">
        <v>3.81</v>
      </c>
      <c r="D106" s="27">
        <v>31098</v>
      </c>
      <c r="E106" s="28">
        <v>4.43</v>
      </c>
      <c r="F106" s="25">
        <v>13416</v>
      </c>
      <c r="G106" s="26">
        <v>7.4550000000000001</v>
      </c>
      <c r="H106" s="27">
        <v>178758</v>
      </c>
      <c r="I106" s="28">
        <v>7.69</v>
      </c>
    </row>
    <row r="107" spans="1:9" ht="15.75" customHeight="1" thickTop="1" thickBot="1" x14ac:dyDescent="0.35">
      <c r="A107" s="9" t="s">
        <v>10</v>
      </c>
      <c r="B107" s="10">
        <f>AVERAGE((B102-$C$12)/$C$12,(B103-$C$12)/$C$12,(B104-$C$12)/$C$12,(B105-$C$12)/$C$12,(B106-$C$12)/$C$12)</f>
        <v>2.2924901185770747E-2</v>
      </c>
      <c r="C107" s="11">
        <f>AVERAGE(C102:C106)</f>
        <v>3.7939999999999996</v>
      </c>
      <c r="D107" s="10">
        <f>AVERAGE((D102-$E$12)/$E$12,(D103-$E$12)/$E$12,(D104-$E$12)/$E$12,(D105-$E$12)/$E$12,(D106-$E$12)/$E$12)</f>
        <v>0.14089894329513322</v>
      </c>
      <c r="E107" s="11">
        <f>AVERAGE(E102:E106)</f>
        <v>3.9304000000000001</v>
      </c>
      <c r="F107" s="10">
        <f>AVERAGE((F102-$G$12)/$G$12,(F103-$G$12)/$G$12,(F104-$G$12)/$G$12,(F105-$G$12)/$G$12,(F106-$G$12)/$G$12)</f>
        <v>9.9909720132410479E-3</v>
      </c>
      <c r="G107" s="11">
        <f>AVERAGE(G102:G106)</f>
        <v>7.6238000000000001</v>
      </c>
      <c r="H107" s="10">
        <f>AVERAGE((H102-$I$12)/$I$12,(H103-$I$12)/$I$12,(H104-$I$12)/$I$12,(H105-$I$12)/$I$12,(H106-$I$12)/$I$12)</f>
        <v>0.1926498724489796</v>
      </c>
      <c r="I107" s="11">
        <f>AVERAGE(I102:I106)</f>
        <v>7.6340000000000003</v>
      </c>
    </row>
    <row r="108" spans="1:9" ht="15.75" customHeight="1" thickBot="1" x14ac:dyDescent="0.35">
      <c r="A108" s="23" t="s">
        <v>16</v>
      </c>
      <c r="B108" s="29">
        <f>STDEV((B102-$C$12)/$C$12,(B103-$C$12)/$C$12,(B104-$C$12)/$C$12,(B105-$C$12)/$C$12,(B106-$C$12)/$C$12)</f>
        <v>5.0504076284580226E-4</v>
      </c>
      <c r="C108" s="29">
        <f>STDEV(C102:C106)</f>
        <v>0.14117365193264622</v>
      </c>
      <c r="D108" s="29">
        <f>STDEV((D102-$E$12)/$E$12,(D103-$E$12)/$E$12,(D104-$E$12)/$E$12,(D105-$E$12)/$E$12,(D106-$E$12)/$E$12)</f>
        <v>4.4677417229463431E-2</v>
      </c>
      <c r="E108" s="29">
        <f>STDEV(E102:E106)</f>
        <v>0.29730590306954874</v>
      </c>
      <c r="F108" s="29">
        <f>STDEV((F102-$G$12)/$G$12,(F103-$G$12)/$G$12,(F104-$G$12)/$G$12,(F105-$G$12)/$G$12,(F106-$G$12)/$G$12)</f>
        <v>2.7675193237495211E-3</v>
      </c>
      <c r="G108" s="29">
        <f>STDEV(G102:G106)</f>
        <v>0.10762062999258075</v>
      </c>
      <c r="H108" s="29">
        <f>STDEV((H102-$I$12)/$I$12,(H103-$I$12)/$I$12,(H104-$I$12)/$I$12,(H105-$I$12)/$I$12,(H106-$I$12)/$I$12)</f>
        <v>9.7767161466374292E-3</v>
      </c>
      <c r="I108" s="29">
        <f>STDEV(I102:I106)</f>
        <v>0.27951744131628004</v>
      </c>
    </row>
    <row r="109" spans="1:9" ht="15.75" customHeight="1" x14ac:dyDescent="0.3">
      <c r="A109" s="37"/>
      <c r="B109" s="38"/>
      <c r="C109" s="38"/>
      <c r="D109" s="38"/>
      <c r="E109" s="38"/>
      <c r="F109" s="38"/>
      <c r="G109" s="38"/>
      <c r="H109" s="38"/>
      <c r="I109" s="38"/>
    </row>
    <row r="110" spans="1:9" ht="15.75" customHeight="1" x14ac:dyDescent="0.3">
      <c r="A110" s="37"/>
      <c r="B110" s="38"/>
      <c r="C110" s="38"/>
      <c r="D110" s="38"/>
      <c r="E110" s="38"/>
      <c r="F110" s="38"/>
      <c r="G110" s="38"/>
      <c r="H110" s="38"/>
      <c r="I110" s="38"/>
    </row>
    <row r="111" spans="1:9" ht="31.2" thickBot="1" x14ac:dyDescent="0.5">
      <c r="A111" s="48" t="s">
        <v>28</v>
      </c>
      <c r="B111" s="82" t="s">
        <v>0</v>
      </c>
      <c r="C111" s="83"/>
      <c r="D111" s="82" t="s">
        <v>1</v>
      </c>
      <c r="E111" s="83"/>
      <c r="F111" s="82" t="s">
        <v>2</v>
      </c>
      <c r="G111" s="83"/>
      <c r="H111" s="82" t="s">
        <v>3</v>
      </c>
      <c r="I111" s="83"/>
    </row>
    <row r="112" spans="1:9" ht="15.75" customHeight="1" x14ac:dyDescent="0.3">
      <c r="A112" s="84" t="s">
        <v>20</v>
      </c>
      <c r="B112" s="12" t="s">
        <v>5</v>
      </c>
      <c r="C112" s="13">
        <v>20</v>
      </c>
      <c r="D112" s="14" t="s">
        <v>5</v>
      </c>
      <c r="E112" s="13">
        <v>20</v>
      </c>
      <c r="F112" s="14" t="s">
        <v>5</v>
      </c>
      <c r="G112" s="13">
        <v>30</v>
      </c>
      <c r="H112" s="14" t="s">
        <v>5</v>
      </c>
      <c r="I112" s="13">
        <v>30</v>
      </c>
    </row>
    <row r="113" spans="1:18" ht="15.75" customHeight="1" x14ac:dyDescent="0.3">
      <c r="A113" s="85"/>
      <c r="B113" s="87" t="s">
        <v>6</v>
      </c>
      <c r="C113" s="89">
        <v>3542</v>
      </c>
      <c r="D113" s="87" t="s">
        <v>6</v>
      </c>
      <c r="E113" s="89">
        <v>26876</v>
      </c>
      <c r="F113" s="87" t="s">
        <v>6</v>
      </c>
      <c r="G113" s="89">
        <v>13292</v>
      </c>
      <c r="H113" s="87" t="s">
        <v>6</v>
      </c>
      <c r="I113" s="89">
        <v>150528</v>
      </c>
    </row>
    <row r="114" spans="1:18" ht="15.75" customHeight="1" thickBot="1" x14ac:dyDescent="0.35">
      <c r="A114" s="85"/>
      <c r="B114" s="88"/>
      <c r="C114" s="90"/>
      <c r="D114" s="88"/>
      <c r="E114" s="90"/>
      <c r="F114" s="88"/>
      <c r="G114" s="90"/>
      <c r="H114" s="88"/>
      <c r="I114" s="90"/>
    </row>
    <row r="115" spans="1:18" ht="15.75" customHeight="1" thickTop="1" thickBot="1" x14ac:dyDescent="0.35">
      <c r="A115" s="86"/>
      <c r="B115" s="15" t="s">
        <v>7</v>
      </c>
      <c r="C115" s="16" t="s">
        <v>8</v>
      </c>
      <c r="D115" s="15" t="s">
        <v>7</v>
      </c>
      <c r="E115" s="17" t="s">
        <v>8</v>
      </c>
      <c r="F115" s="15" t="s">
        <v>7</v>
      </c>
      <c r="G115" s="16" t="s">
        <v>8</v>
      </c>
      <c r="H115" s="15" t="s">
        <v>7</v>
      </c>
      <c r="I115" s="17" t="s">
        <v>8</v>
      </c>
    </row>
    <row r="116" spans="1:18" ht="15.75" customHeight="1" thickTop="1" thickBot="1" x14ac:dyDescent="0.35">
      <c r="A116" s="18" t="s">
        <v>11</v>
      </c>
      <c r="B116" s="19">
        <v>3618</v>
      </c>
      <c r="C116" s="20">
        <v>3.76</v>
      </c>
      <c r="D116" s="21">
        <v>30196</v>
      </c>
      <c r="E116" s="22">
        <v>3.83</v>
      </c>
      <c r="F116" s="19">
        <v>13450</v>
      </c>
      <c r="G116" s="20">
        <v>7.5960000000000001</v>
      </c>
      <c r="H116" s="21">
        <v>177650</v>
      </c>
      <c r="I116" s="22">
        <v>7.75</v>
      </c>
      <c r="J116" s="49"/>
      <c r="K116" s="49"/>
      <c r="L116" s="49"/>
      <c r="M116" s="49"/>
      <c r="N116" s="49"/>
      <c r="O116" s="49"/>
      <c r="P116" s="49"/>
      <c r="Q116" s="49"/>
      <c r="R116" s="57"/>
    </row>
    <row r="117" spans="1:18" ht="15.75" customHeight="1" thickBot="1" x14ac:dyDescent="0.35">
      <c r="A117" s="23" t="s">
        <v>12</v>
      </c>
      <c r="B117" s="19">
        <v>3630</v>
      </c>
      <c r="C117" s="20">
        <v>4.17</v>
      </c>
      <c r="D117" s="21">
        <v>31468</v>
      </c>
      <c r="E117" s="22">
        <v>3.88</v>
      </c>
      <c r="F117" s="19">
        <v>13440</v>
      </c>
      <c r="G117" s="20">
        <v>7.78</v>
      </c>
      <c r="H117" s="21">
        <v>175690</v>
      </c>
      <c r="I117" s="22">
        <v>7.52</v>
      </c>
      <c r="J117" s="57"/>
      <c r="K117" s="57"/>
      <c r="L117" s="57"/>
      <c r="M117" s="57"/>
      <c r="N117" s="57"/>
      <c r="O117" s="57"/>
      <c r="P117" s="57"/>
      <c r="Q117" s="57"/>
      <c r="R117" s="57"/>
    </row>
    <row r="118" spans="1:18" ht="15.75" customHeight="1" thickBot="1" x14ac:dyDescent="0.35">
      <c r="A118" s="23" t="s">
        <v>13</v>
      </c>
      <c r="B118" s="19">
        <v>3632</v>
      </c>
      <c r="C118" s="20">
        <v>4.0599999999999996</v>
      </c>
      <c r="D118" s="21">
        <v>31348</v>
      </c>
      <c r="E118" s="22">
        <v>3.91</v>
      </c>
      <c r="F118" s="19">
        <v>13432</v>
      </c>
      <c r="G118" s="20">
        <v>7.9</v>
      </c>
      <c r="H118" s="21">
        <v>180456</v>
      </c>
      <c r="I118" s="22">
        <v>7.73</v>
      </c>
    </row>
    <row r="119" spans="1:18" ht="15.75" customHeight="1" thickBot="1" x14ac:dyDescent="0.35">
      <c r="A119" s="23" t="s">
        <v>14</v>
      </c>
      <c r="B119" s="19">
        <v>3630</v>
      </c>
      <c r="C119" s="20">
        <v>3.86</v>
      </c>
      <c r="D119" s="21">
        <v>31162</v>
      </c>
      <c r="E119" s="22">
        <v>3.86</v>
      </c>
      <c r="F119" s="19">
        <v>13438</v>
      </c>
      <c r="G119" s="20">
        <v>7.95</v>
      </c>
      <c r="H119" s="21">
        <v>179082</v>
      </c>
      <c r="I119" s="22">
        <v>7.84</v>
      </c>
    </row>
    <row r="120" spans="1:18" ht="15.75" customHeight="1" thickBot="1" x14ac:dyDescent="0.35">
      <c r="A120" s="24" t="s">
        <v>15</v>
      </c>
      <c r="B120" s="25">
        <v>3642</v>
      </c>
      <c r="C120" s="26">
        <v>4</v>
      </c>
      <c r="D120" s="27">
        <v>31398</v>
      </c>
      <c r="E120" s="28">
        <v>3.89</v>
      </c>
      <c r="F120" s="25">
        <v>13408</v>
      </c>
      <c r="G120" s="26">
        <v>7.73</v>
      </c>
      <c r="H120" s="27">
        <v>176528</v>
      </c>
      <c r="I120" s="28">
        <v>7.8959999999999999</v>
      </c>
    </row>
    <row r="121" spans="1:18" ht="15.75" customHeight="1" thickTop="1" thickBot="1" x14ac:dyDescent="0.35">
      <c r="A121" s="9" t="s">
        <v>10</v>
      </c>
      <c r="B121" s="10">
        <f>AVERAGE((B116-$C$12)/$C$12,(B117-$C$12)/$C$12,(B118-$C$12)/$C$12,(B119-$C$12)/$C$12,(B120-$C$12)/$C$12)</f>
        <v>2.4957651044607568E-2</v>
      </c>
      <c r="C121" s="11">
        <f>AVERAGE(C116:C120)</f>
        <v>3.9699999999999998</v>
      </c>
      <c r="D121" s="10">
        <f>AVERAGE((D116-$E$12)/$E$12,(D117-$E$12)/$E$12,(D118-$E$12)/$E$12,(D119-$E$12)/$E$12,(D120-$E$12)/$E$12)</f>
        <v>0.15770203899389793</v>
      </c>
      <c r="E121" s="11">
        <f>AVERAGE(E116:E120)</f>
        <v>3.8740000000000001</v>
      </c>
      <c r="F121" s="10">
        <f>AVERAGE((F116-$G$12)/$G$12,(F117-$G$12)/$G$12,(F118-$G$12)/$G$12,(F119-$G$12)/$G$12,(F120-$G$12)/$G$12)</f>
        <v>1.0653024375564249E-2</v>
      </c>
      <c r="G121" s="11">
        <f>AVERAGE(G116:G120)</f>
        <v>7.7912000000000008</v>
      </c>
      <c r="H121" s="10">
        <f>AVERAGE((H116-$I$12)/$I$12,(H117-$I$12)/$I$12,(H118-$I$12)/$I$12,(H119-$I$12)/$I$12,(H120-$I$12)/$I$12)</f>
        <v>0.18171502976190473</v>
      </c>
      <c r="I121" s="11">
        <f>AVERAGE(I116:I120)</f>
        <v>7.7471999999999994</v>
      </c>
    </row>
    <row r="122" spans="1:18" ht="15.75" customHeight="1" thickBot="1" x14ac:dyDescent="0.35">
      <c r="A122" s="23" t="s">
        <v>16</v>
      </c>
      <c r="B122" s="29">
        <f>STDEV((B116-$C$12)/$C$12,(B117-$C$12)/$C$12,(B118-$C$12)/$C$12,(B119-$C$12)/$C$12,(B120-$C$12)/$C$12)</f>
        <v>2.4088909099606493E-3</v>
      </c>
      <c r="C122" s="29">
        <f>STDEV(C116:C120)</f>
        <v>0.16217274740226856</v>
      </c>
      <c r="D122" s="29">
        <f>STDEV((D116-$E$12)/$E$12,(D117-$E$12)/$E$12,(D118-$E$12)/$E$12,(D119-$E$12)/$E$12,(D120-$E$12)/$E$12)</f>
        <v>1.9562973521653124E-2</v>
      </c>
      <c r="E122" s="29">
        <f>STDEV(E116:E120)</f>
        <v>3.0495901363953852E-2</v>
      </c>
      <c r="F122" s="29">
        <f>STDEV((F116-$G$12)/$G$12,(F117-$G$12)/$G$12,(F118-$G$12)/$G$12,(F119-$G$12)/$G$12,(F120-$G$12)/$G$12)</f>
        <v>1.1819041159588008E-3</v>
      </c>
      <c r="G122" s="29">
        <f>STDEV(G116:G120)</f>
        <v>0.14056030734172437</v>
      </c>
      <c r="H122" s="29">
        <f>STDEV((H116-$I$12)/$I$12,(H117-$I$12)/$I$12,(H118-$I$12)/$I$12,(H119-$I$12)/$I$12,(H120-$I$12)/$I$12)</f>
        <v>1.2760237786528432E-2</v>
      </c>
      <c r="I122" s="29">
        <f>STDEV(I116:I120)</f>
        <v>0.14376786845467254</v>
      </c>
    </row>
    <row r="123" spans="1:18" ht="15.75" customHeight="1" x14ac:dyDescent="0.3"/>
    <row r="124" spans="1:18" ht="31.2" thickBot="1" x14ac:dyDescent="0.5">
      <c r="A124" s="48" t="s">
        <v>29</v>
      </c>
      <c r="B124" s="91" t="s">
        <v>0</v>
      </c>
      <c r="C124" s="91"/>
      <c r="D124" s="91" t="s">
        <v>1</v>
      </c>
      <c r="E124" s="91"/>
      <c r="F124" s="91" t="s">
        <v>2</v>
      </c>
      <c r="G124" s="91"/>
      <c r="H124" s="91" t="s">
        <v>3</v>
      </c>
      <c r="I124" s="91"/>
    </row>
    <row r="125" spans="1:18" ht="15.75" customHeight="1" x14ac:dyDescent="0.3">
      <c r="A125" s="84" t="s">
        <v>20</v>
      </c>
      <c r="B125" s="12" t="s">
        <v>5</v>
      </c>
      <c r="C125" s="13">
        <v>20</v>
      </c>
      <c r="D125" s="14" t="s">
        <v>5</v>
      </c>
      <c r="E125" s="13">
        <v>20</v>
      </c>
      <c r="F125" s="14" t="s">
        <v>5</v>
      </c>
      <c r="G125" s="13">
        <v>30</v>
      </c>
      <c r="H125" s="14" t="s">
        <v>5</v>
      </c>
      <c r="I125" s="13">
        <v>30</v>
      </c>
    </row>
    <row r="126" spans="1:18" ht="15.75" customHeight="1" x14ac:dyDescent="0.3">
      <c r="A126" s="92"/>
      <c r="B126" s="87" t="s">
        <v>6</v>
      </c>
      <c r="C126" s="95">
        <v>3542</v>
      </c>
      <c r="D126" s="87" t="s">
        <v>6</v>
      </c>
      <c r="E126" s="95">
        <v>26876</v>
      </c>
      <c r="F126" s="87" t="s">
        <v>6</v>
      </c>
      <c r="G126" s="95">
        <v>13292</v>
      </c>
      <c r="H126" s="87" t="s">
        <v>6</v>
      </c>
      <c r="I126" s="89">
        <v>150528</v>
      </c>
    </row>
    <row r="127" spans="1:18" ht="15.75" customHeight="1" thickBot="1" x14ac:dyDescent="0.35">
      <c r="A127" s="92"/>
      <c r="B127" s="94"/>
      <c r="C127" s="96"/>
      <c r="D127" s="94"/>
      <c r="E127" s="96"/>
      <c r="F127" s="94"/>
      <c r="G127" s="96"/>
      <c r="H127" s="94"/>
      <c r="I127" s="107"/>
    </row>
    <row r="128" spans="1:18" ht="15.75" customHeight="1" thickTop="1" thickBot="1" x14ac:dyDescent="0.35">
      <c r="A128" s="93"/>
      <c r="B128" s="15" t="s">
        <v>7</v>
      </c>
      <c r="C128" s="16" t="s">
        <v>8</v>
      </c>
      <c r="D128" s="15" t="s">
        <v>7</v>
      </c>
      <c r="E128" s="17" t="s">
        <v>8</v>
      </c>
      <c r="F128" s="15" t="s">
        <v>7</v>
      </c>
      <c r="G128" s="16" t="s">
        <v>8</v>
      </c>
      <c r="H128" s="15" t="s">
        <v>7</v>
      </c>
      <c r="I128" s="17" t="s">
        <v>8</v>
      </c>
      <c r="O128" t="str">
        <f>J142</f>
        <v>Media</v>
      </c>
    </row>
    <row r="129" spans="1:15" ht="15.75" customHeight="1" thickTop="1" thickBot="1" x14ac:dyDescent="0.35">
      <c r="A129" s="18" t="s">
        <v>11</v>
      </c>
      <c r="B129" s="19">
        <v>3600</v>
      </c>
      <c r="C129" s="20">
        <v>3.86</v>
      </c>
      <c r="D129" s="21">
        <v>29716</v>
      </c>
      <c r="E129" s="22">
        <v>3.84</v>
      </c>
      <c r="F129" s="19">
        <v>13396</v>
      </c>
      <c r="G129" s="20">
        <v>7.86</v>
      </c>
      <c r="H129" s="21">
        <v>178282</v>
      </c>
      <c r="I129" s="22">
        <v>7.75</v>
      </c>
      <c r="N129" s="46" t="str">
        <f>A143</f>
        <v>Cruce=MOC, E=1, kBest=2, kWorst=3</v>
      </c>
      <c r="O129" s="42">
        <f>J143</f>
        <v>0.12882639687990155</v>
      </c>
    </row>
    <row r="130" spans="1:15" ht="15.75" customHeight="1" thickBot="1" x14ac:dyDescent="0.35">
      <c r="A130" s="23" t="s">
        <v>12</v>
      </c>
      <c r="B130" s="19">
        <v>3616</v>
      </c>
      <c r="C130" s="20">
        <v>3.88</v>
      </c>
      <c r="D130" s="21">
        <v>30570</v>
      </c>
      <c r="E130" s="22">
        <v>3.86</v>
      </c>
      <c r="F130" s="19">
        <v>13410</v>
      </c>
      <c r="G130" s="20">
        <v>7.8</v>
      </c>
      <c r="H130" s="21">
        <v>177042</v>
      </c>
      <c r="I130" s="22">
        <v>7.92</v>
      </c>
      <c r="N130" s="46" t="str">
        <f t="shared" ref="N130:N132" si="15">A144</f>
        <v>Cruce=MOC, E=1, kBest=3, kWorst=3</v>
      </c>
      <c r="O130" s="42">
        <f>J144</f>
        <v>9.1616172235781168E-2</v>
      </c>
    </row>
    <row r="131" spans="1:15" ht="15.75" customHeight="1" thickBot="1" x14ac:dyDescent="0.35">
      <c r="A131" s="23" t="s">
        <v>13</v>
      </c>
      <c r="B131" s="19">
        <v>3610</v>
      </c>
      <c r="C131" s="20">
        <v>3.9</v>
      </c>
      <c r="D131" s="21">
        <v>26876</v>
      </c>
      <c r="E131" s="22">
        <v>4.2</v>
      </c>
      <c r="F131" s="19">
        <v>13448</v>
      </c>
      <c r="G131" s="20">
        <v>7.5</v>
      </c>
      <c r="H131" s="21">
        <v>177958</v>
      </c>
      <c r="I131" s="22">
        <v>7.79</v>
      </c>
      <c r="N131" s="46" t="str">
        <f t="shared" si="15"/>
        <v>Cruce=MOC, E=2, kBest=2, kWorst=3</v>
      </c>
      <c r="O131" s="42">
        <f>J145</f>
        <v>9.3756936043993627E-2</v>
      </c>
    </row>
    <row r="132" spans="1:15" ht="15.75" customHeight="1" thickBot="1" x14ac:dyDescent="0.35">
      <c r="A132" s="23" t="s">
        <v>14</v>
      </c>
      <c r="B132" s="19">
        <v>3616</v>
      </c>
      <c r="C132" s="20">
        <v>4.1399999999999997</v>
      </c>
      <c r="D132" s="21">
        <v>30898</v>
      </c>
      <c r="E132" s="22">
        <v>3.9</v>
      </c>
      <c r="F132" s="19">
        <v>13458</v>
      </c>
      <c r="G132" s="20">
        <v>7.87</v>
      </c>
      <c r="H132" s="21">
        <v>177462</v>
      </c>
      <c r="I132" s="22">
        <v>7.7649999999999997</v>
      </c>
      <c r="N132" s="46" t="str">
        <f t="shared" si="15"/>
        <v>Cruce=MOC, E=2, kBest=3, kWorst=3</v>
      </c>
      <c r="O132" s="42">
        <f>J146</f>
        <v>7.2317833124453404E-2</v>
      </c>
    </row>
    <row r="133" spans="1:15" ht="15.75" customHeight="1" thickBot="1" x14ac:dyDescent="0.35">
      <c r="A133" s="24" t="s">
        <v>15</v>
      </c>
      <c r="B133" s="25">
        <v>3620</v>
      </c>
      <c r="C133" s="26">
        <v>4.1500000000000004</v>
      </c>
      <c r="D133" s="27">
        <v>26876</v>
      </c>
      <c r="E133" s="28">
        <v>4.28</v>
      </c>
      <c r="F133" s="25">
        <v>13350</v>
      </c>
      <c r="G133" s="26">
        <v>7.57</v>
      </c>
      <c r="H133" s="27">
        <v>178714</v>
      </c>
      <c r="I133" s="28">
        <v>7.83</v>
      </c>
    </row>
    <row r="134" spans="1:15" ht="15.75" customHeight="1" thickTop="1" thickBot="1" x14ac:dyDescent="0.35">
      <c r="A134" s="9" t="s">
        <v>10</v>
      </c>
      <c r="B134" s="10">
        <f>AVERAGE((B129-$C$12)/$C$12,(B130-$C$12)/$C$12,(B131-$C$12)/$C$12,(B132-$C$12)/$C$12,(B133-$C$12)/$C$12)</f>
        <v>1.9875776397515529E-2</v>
      </c>
      <c r="C134" s="11">
        <f>AVERAGE(C129:C133)</f>
        <v>3.9859999999999998</v>
      </c>
      <c r="D134" s="10">
        <f>AVERAGE((D129-$E$12)/$E$12,(D130-$E$12)/$E$12,(D131-$E$12)/$E$12,(D132-$E$12)/$E$12,(D133-$E$12)/$E$12)</f>
        <v>7.855335615418961E-2</v>
      </c>
      <c r="E134" s="11">
        <f>AVERAGE(E129:E133)</f>
        <v>4.016</v>
      </c>
      <c r="F134" s="10">
        <f>AVERAGE((F129-$G$12)/$G$12,(F130-$G$12)/$G$12,(F131-$G$12)/$G$12,(F132-$G$12)/$G$12,(F133-$G$12)/$G$12)</f>
        <v>9.058080048149262E-3</v>
      </c>
      <c r="G134" s="11">
        <f>AVERAGE(G129:G133)</f>
        <v>7.7200000000000006</v>
      </c>
      <c r="H134" s="10">
        <f>AVERAGE((H129-$I$12)/$I$12,(H130-$I$12)/$I$12,(H131-$I$12)/$I$12,(H132-$I$12)/$I$12,(H133-$I$12)/$I$12)</f>
        <v>0.1817841198979592</v>
      </c>
      <c r="I134" s="11">
        <f>AVERAGE(I129:I133)</f>
        <v>7.8109999999999999</v>
      </c>
    </row>
    <row r="135" spans="1:15" ht="15.75" customHeight="1" thickBot="1" x14ac:dyDescent="0.35">
      <c r="A135" s="23" t="s">
        <v>16</v>
      </c>
      <c r="B135" s="29">
        <f>STDEV((B129-$C$12)/$C$12,(B130-$C$12)/$C$12,(B131-$C$12)/$C$12,(B132-$C$12)/$C$12,(B133-$C$12)/$C$12)</f>
        <v>2.2014216476135434E-3</v>
      </c>
      <c r="C135" s="29">
        <f>STDEV(C129:C133)</f>
        <v>0.14587666023048382</v>
      </c>
      <c r="D135" s="29">
        <f>STDEV((D129-$E$12)/$E$12,(D130-$E$12)/$E$12,(D131-$E$12)/$E$12,(D132-$E$12)/$E$12,(D133-$E$12)/$E$12)</f>
        <v>7.3484207815387295E-2</v>
      </c>
      <c r="E135" s="29">
        <f>STDEV(E129:E133)</f>
        <v>0.2075572210259139</v>
      </c>
      <c r="F135" s="29">
        <f>STDEV((F129-$G$12)/$G$12,(F130-$G$12)/$G$12,(F131-$G$12)/$G$12,(F132-$G$12)/$G$12,(F133-$G$12)/$G$12)</f>
        <v>3.2609935751087725E-3</v>
      </c>
      <c r="G135" s="29">
        <f>STDEV(G129:G133)</f>
        <v>0.17277152543170995</v>
      </c>
      <c r="H135" s="29">
        <f>STDEV((H129-$I$12)/$I$12,(H130-$I$12)/$I$12,(H131-$I$12)/$I$12,(H132-$I$12)/$I$12,(H133-$I$12)/$I$12)</f>
        <v>4.3809653967117057E-3</v>
      </c>
      <c r="I135" s="29">
        <f>STDEV(I129:I133)</f>
        <v>6.8044103344816032E-2</v>
      </c>
    </row>
    <row r="136" spans="1:15" ht="15.75" customHeight="1" x14ac:dyDescent="0.3"/>
    <row r="137" spans="1:15" ht="15.75" customHeight="1" x14ac:dyDescent="0.3"/>
    <row r="138" spans="1:15" ht="15.75" customHeight="1" x14ac:dyDescent="0.3"/>
    <row r="139" spans="1:15" ht="15.75" customHeight="1" x14ac:dyDescent="0.3"/>
    <row r="140" spans="1:15" ht="15.75" customHeight="1" thickBot="1" x14ac:dyDescent="0.35"/>
    <row r="141" spans="1:15" ht="15.75" customHeight="1" thickTop="1" thickBot="1" x14ac:dyDescent="0.35">
      <c r="A141" s="75" t="s">
        <v>25</v>
      </c>
      <c r="B141" s="76" t="s">
        <v>0</v>
      </c>
      <c r="C141" s="77"/>
      <c r="D141" s="78" t="s">
        <v>1</v>
      </c>
      <c r="E141" s="77"/>
      <c r="F141" s="78" t="s">
        <v>2</v>
      </c>
      <c r="G141" s="77"/>
      <c r="H141" s="78" t="s">
        <v>3</v>
      </c>
      <c r="I141" s="79"/>
      <c r="J141" s="80" t="s">
        <v>19</v>
      </c>
      <c r="K141" s="81"/>
    </row>
    <row r="142" spans="1:15" ht="15.75" customHeight="1" thickBot="1" x14ac:dyDescent="0.35">
      <c r="A142" s="75"/>
      <c r="B142" s="15" t="s">
        <v>10</v>
      </c>
      <c r="C142" s="16" t="s">
        <v>8</v>
      </c>
      <c r="D142" s="15" t="s">
        <v>10</v>
      </c>
      <c r="E142" s="17" t="s">
        <v>8</v>
      </c>
      <c r="F142" s="15" t="s">
        <v>10</v>
      </c>
      <c r="G142" s="16" t="s">
        <v>8</v>
      </c>
      <c r="H142" s="15" t="s">
        <v>10</v>
      </c>
      <c r="I142" s="17" t="s">
        <v>8</v>
      </c>
      <c r="J142" s="31" t="s">
        <v>10</v>
      </c>
      <c r="K142" s="32" t="s">
        <v>8</v>
      </c>
    </row>
    <row r="143" spans="1:15" ht="30" thickTop="1" thickBot="1" x14ac:dyDescent="0.35">
      <c r="A143" s="54" t="s">
        <v>34</v>
      </c>
      <c r="B143" s="50">
        <f>B94</f>
        <v>2.9136081309994351E-2</v>
      </c>
      <c r="C143" s="29">
        <f t="shared" ref="C143:I143" si="16">C94</f>
        <v>3.9051999999999998</v>
      </c>
      <c r="D143" s="43">
        <f t="shared" si="16"/>
        <v>0.17460931686262834</v>
      </c>
      <c r="E143" s="29">
        <f t="shared" si="16"/>
        <v>3.94692</v>
      </c>
      <c r="F143" s="43">
        <f t="shared" si="16"/>
        <v>1.3241047246464039E-2</v>
      </c>
      <c r="G143" s="29">
        <f t="shared" si="16"/>
        <v>7.9352</v>
      </c>
      <c r="H143" s="43">
        <f t="shared" si="16"/>
        <v>0.19862882653061226</v>
      </c>
      <c r="I143" s="29">
        <f t="shared" si="16"/>
        <v>8.1249199999999995</v>
      </c>
      <c r="J143" s="45">
        <f>AVERAGE(B142,D143,F143,H143)</f>
        <v>0.12882639687990155</v>
      </c>
      <c r="K143" s="34">
        <f t="shared" ref="K143:K146" si="17">AVERAGE(C143,E143,G143,I143)</f>
        <v>5.9780599999999993</v>
      </c>
    </row>
    <row r="144" spans="1:15" ht="30" thickTop="1" thickBot="1" x14ac:dyDescent="0.35">
      <c r="A144" s="54" t="s">
        <v>35</v>
      </c>
      <c r="B144" s="50">
        <f>B107</f>
        <v>2.2924901185770747E-2</v>
      </c>
      <c r="C144" s="29">
        <f t="shared" ref="C144:I144" si="18">C107</f>
        <v>3.7939999999999996</v>
      </c>
      <c r="D144" s="43">
        <f t="shared" si="18"/>
        <v>0.14089894329513322</v>
      </c>
      <c r="E144" s="29">
        <f t="shared" si="18"/>
        <v>3.9304000000000001</v>
      </c>
      <c r="F144" s="43">
        <f t="shared" si="18"/>
        <v>9.9909720132410479E-3</v>
      </c>
      <c r="G144" s="29">
        <f t="shared" si="18"/>
        <v>7.6238000000000001</v>
      </c>
      <c r="H144" s="43">
        <f t="shared" si="18"/>
        <v>0.1926498724489796</v>
      </c>
      <c r="I144" s="29">
        <f t="shared" si="18"/>
        <v>7.6340000000000003</v>
      </c>
      <c r="J144" s="45">
        <f t="shared" ref="J144:J146" si="19">AVERAGE(B144,D144,F144,H144)</f>
        <v>9.1616172235781168E-2</v>
      </c>
      <c r="K144" s="34">
        <f t="shared" si="17"/>
        <v>5.7455499999999997</v>
      </c>
    </row>
    <row r="145" spans="1:11" ht="30" thickTop="1" thickBot="1" x14ac:dyDescent="0.35">
      <c r="A145" s="54" t="s">
        <v>36</v>
      </c>
      <c r="B145" s="51">
        <f>B121</f>
        <v>2.4957651044607568E-2</v>
      </c>
      <c r="C145" s="35">
        <f t="shared" ref="C145:I145" si="20">C121</f>
        <v>3.9699999999999998</v>
      </c>
      <c r="D145" s="44">
        <f t="shared" si="20"/>
        <v>0.15770203899389793</v>
      </c>
      <c r="E145" s="35">
        <f t="shared" si="20"/>
        <v>3.8740000000000001</v>
      </c>
      <c r="F145" s="44">
        <f t="shared" si="20"/>
        <v>1.0653024375564249E-2</v>
      </c>
      <c r="G145" s="35">
        <f t="shared" si="20"/>
        <v>7.7912000000000008</v>
      </c>
      <c r="H145" s="44">
        <f t="shared" si="20"/>
        <v>0.18171502976190473</v>
      </c>
      <c r="I145" s="35">
        <f t="shared" si="20"/>
        <v>7.7471999999999994</v>
      </c>
      <c r="J145" s="45">
        <f t="shared" si="19"/>
        <v>9.3756936043993627E-2</v>
      </c>
      <c r="K145" s="34">
        <f t="shared" si="17"/>
        <v>5.8456000000000001</v>
      </c>
    </row>
    <row r="146" spans="1:11" ht="30" thickTop="1" thickBot="1" x14ac:dyDescent="0.35">
      <c r="A146" s="54" t="s">
        <v>37</v>
      </c>
      <c r="B146" s="51">
        <f>B134</f>
        <v>1.9875776397515529E-2</v>
      </c>
      <c r="C146" s="35">
        <f t="shared" ref="C146:I146" si="21">C134</f>
        <v>3.9859999999999998</v>
      </c>
      <c r="D146" s="44">
        <f t="shared" si="21"/>
        <v>7.855335615418961E-2</v>
      </c>
      <c r="E146" s="35">
        <f t="shared" si="21"/>
        <v>4.016</v>
      </c>
      <c r="F146" s="44">
        <f t="shared" si="21"/>
        <v>9.058080048149262E-3</v>
      </c>
      <c r="G146" s="35">
        <f t="shared" si="21"/>
        <v>7.7200000000000006</v>
      </c>
      <c r="H146" s="44">
        <f t="shared" si="21"/>
        <v>0.1817841198979592</v>
      </c>
      <c r="I146" s="35">
        <f t="shared" si="21"/>
        <v>7.8109999999999999</v>
      </c>
      <c r="J146" s="45">
        <f t="shared" si="19"/>
        <v>7.2317833124453404E-2</v>
      </c>
      <c r="K146" s="34">
        <f t="shared" si="17"/>
        <v>5.8832500000000003</v>
      </c>
    </row>
    <row r="147" spans="1:11" ht="15.75" customHeight="1" thickTop="1" x14ac:dyDescent="0.5">
      <c r="A147" s="30"/>
    </row>
    <row r="148" spans="1:11" ht="15.75" customHeight="1" x14ac:dyDescent="0.3"/>
    <row r="149" spans="1:11" ht="15.75" customHeight="1" thickBot="1" x14ac:dyDescent="0.35"/>
    <row r="150" spans="1:11" ht="15.75" customHeight="1" thickTop="1" thickBot="1" x14ac:dyDescent="0.35">
      <c r="A150" s="75" t="s">
        <v>25</v>
      </c>
      <c r="B150" s="76" t="s">
        <v>0</v>
      </c>
      <c r="C150" s="77"/>
      <c r="D150" s="78" t="s">
        <v>1</v>
      </c>
      <c r="E150" s="77"/>
      <c r="F150" s="78" t="s">
        <v>2</v>
      </c>
      <c r="G150" s="77"/>
      <c r="H150" s="78" t="s">
        <v>3</v>
      </c>
      <c r="I150" s="79"/>
      <c r="J150" s="80" t="s">
        <v>17</v>
      </c>
      <c r="K150" s="81"/>
    </row>
    <row r="151" spans="1:11" ht="15.75" customHeight="1" thickBot="1" x14ac:dyDescent="0.35">
      <c r="A151" s="75"/>
      <c r="B151" s="15" t="s">
        <v>18</v>
      </c>
      <c r="C151" s="16" t="s">
        <v>8</v>
      </c>
      <c r="D151" s="15" t="s">
        <v>18</v>
      </c>
      <c r="E151" s="17" t="s">
        <v>8</v>
      </c>
      <c r="F151" s="15" t="s">
        <v>18</v>
      </c>
      <c r="G151" s="16" t="s">
        <v>8</v>
      </c>
      <c r="H151" s="15" t="s">
        <v>18</v>
      </c>
      <c r="I151" s="17" t="s">
        <v>8</v>
      </c>
      <c r="J151" s="31" t="s">
        <v>18</v>
      </c>
      <c r="K151" s="32" t="s">
        <v>8</v>
      </c>
    </row>
    <row r="152" spans="1:11" ht="30" thickTop="1" thickBot="1" x14ac:dyDescent="0.35">
      <c r="A152" s="54" t="s">
        <v>34</v>
      </c>
      <c r="B152" s="52">
        <f>B95</f>
        <v>5.1689632936627039E-3</v>
      </c>
      <c r="C152" s="52">
        <f t="shared" ref="C152:I152" si="22">C95</f>
        <v>0.32149292371683708</v>
      </c>
      <c r="D152" s="52">
        <f t="shared" si="22"/>
        <v>1.360025490639395E-2</v>
      </c>
      <c r="E152" s="52">
        <f t="shared" si="22"/>
        <v>0.27308063278086925</v>
      </c>
      <c r="F152" s="52">
        <f t="shared" si="22"/>
        <v>7.1372502110330542E-4</v>
      </c>
      <c r="G152" s="52">
        <f t="shared" si="22"/>
        <v>0.54469138050826527</v>
      </c>
      <c r="H152" s="52">
        <f t="shared" si="22"/>
        <v>4.4435623760985827E-3</v>
      </c>
      <c r="I152" s="52">
        <f t="shared" si="22"/>
        <v>0.73539658144432529</v>
      </c>
      <c r="J152" s="33">
        <f t="shared" ref="J152:J155" si="23">AVERAGE(B152,D152,F152,H152)</f>
        <v>5.9816263993146355E-3</v>
      </c>
      <c r="K152" s="34">
        <f t="shared" ref="K152:K155" si="24">AVERAGE(C152,E152,G152,I152)</f>
        <v>0.46866537961257426</v>
      </c>
    </row>
    <row r="153" spans="1:11" ht="30" thickTop="1" thickBot="1" x14ac:dyDescent="0.35">
      <c r="A153" s="54" t="s">
        <v>35</v>
      </c>
      <c r="B153" s="52">
        <f>B108</f>
        <v>5.0504076284580226E-4</v>
      </c>
      <c r="C153" s="52">
        <f t="shared" ref="C153:I153" si="25">C108</f>
        <v>0.14117365193264622</v>
      </c>
      <c r="D153" s="52">
        <f t="shared" si="25"/>
        <v>4.4677417229463431E-2</v>
      </c>
      <c r="E153" s="52">
        <f t="shared" si="25"/>
        <v>0.29730590306954874</v>
      </c>
      <c r="F153" s="52">
        <f t="shared" si="25"/>
        <v>2.7675193237495211E-3</v>
      </c>
      <c r="G153" s="52">
        <f t="shared" si="25"/>
        <v>0.10762062999258075</v>
      </c>
      <c r="H153" s="52">
        <f t="shared" si="25"/>
        <v>9.7767161466374292E-3</v>
      </c>
      <c r="I153" s="52">
        <f t="shared" si="25"/>
        <v>0.27951744131628004</v>
      </c>
      <c r="J153" s="33">
        <f t="shared" si="23"/>
        <v>1.4431673365674047E-2</v>
      </c>
      <c r="K153" s="34">
        <f t="shared" si="24"/>
        <v>0.20640440657776393</v>
      </c>
    </row>
    <row r="154" spans="1:11" ht="30" thickTop="1" thickBot="1" x14ac:dyDescent="0.35">
      <c r="A154" s="54" t="s">
        <v>36</v>
      </c>
      <c r="B154" s="53">
        <f>B122</f>
        <v>2.4088909099606493E-3</v>
      </c>
      <c r="C154" s="53">
        <f t="shared" ref="C154:I154" si="26">C122</f>
        <v>0.16217274740226856</v>
      </c>
      <c r="D154" s="53">
        <f t="shared" si="26"/>
        <v>1.9562973521653124E-2</v>
      </c>
      <c r="E154" s="53">
        <f t="shared" si="26"/>
        <v>3.0495901363953852E-2</v>
      </c>
      <c r="F154" s="53">
        <f t="shared" si="26"/>
        <v>1.1819041159588008E-3</v>
      </c>
      <c r="G154" s="53">
        <f t="shared" si="26"/>
        <v>0.14056030734172437</v>
      </c>
      <c r="H154" s="53">
        <f t="shared" si="26"/>
        <v>1.2760237786528432E-2</v>
      </c>
      <c r="I154" s="53">
        <f t="shared" si="26"/>
        <v>0.14376786845467254</v>
      </c>
      <c r="J154" s="33">
        <f t="shared" si="23"/>
        <v>8.9785015835252523E-3</v>
      </c>
      <c r="K154" s="34">
        <f t="shared" si="24"/>
        <v>0.11924920614065483</v>
      </c>
    </row>
    <row r="155" spans="1:11" ht="30" thickTop="1" thickBot="1" x14ac:dyDescent="0.35">
      <c r="A155" s="54" t="s">
        <v>37</v>
      </c>
      <c r="B155" s="53">
        <f>B135</f>
        <v>2.2014216476135434E-3</v>
      </c>
      <c r="C155" s="53">
        <f t="shared" ref="C155:I155" si="27">C135</f>
        <v>0.14587666023048382</v>
      </c>
      <c r="D155" s="53">
        <f t="shared" si="27"/>
        <v>7.3484207815387295E-2</v>
      </c>
      <c r="E155" s="53">
        <f t="shared" si="27"/>
        <v>0.2075572210259139</v>
      </c>
      <c r="F155" s="53">
        <f t="shared" si="27"/>
        <v>3.2609935751087725E-3</v>
      </c>
      <c r="G155" s="53">
        <f t="shared" si="27"/>
        <v>0.17277152543170995</v>
      </c>
      <c r="H155" s="53">
        <f t="shared" si="27"/>
        <v>4.3809653967117057E-3</v>
      </c>
      <c r="I155" s="53">
        <f t="shared" si="27"/>
        <v>6.8044103344816032E-2</v>
      </c>
      <c r="J155" s="33">
        <f t="shared" si="23"/>
        <v>2.0831897108705328E-2</v>
      </c>
      <c r="K155" s="34">
        <f t="shared" si="24"/>
        <v>0.14856237750823093</v>
      </c>
    </row>
    <row r="156" spans="1:11" ht="15.75" customHeight="1" thickTop="1" x14ac:dyDescent="0.3"/>
    <row r="157" spans="1:11" ht="15.75" customHeight="1" x14ac:dyDescent="0.3"/>
    <row r="158" spans="1:11" ht="15.75" customHeight="1" x14ac:dyDescent="0.3"/>
    <row r="159" spans="1:11" ht="67.2" x14ac:dyDescent="0.65">
      <c r="A159" s="56" t="s">
        <v>30</v>
      </c>
    </row>
    <row r="160" spans="1:11" ht="31.2" thickBot="1" x14ac:dyDescent="0.5">
      <c r="A160" s="48" t="s">
        <v>31</v>
      </c>
      <c r="B160" s="82" t="s">
        <v>0</v>
      </c>
      <c r="C160" s="83"/>
      <c r="D160" s="82" t="s">
        <v>1</v>
      </c>
      <c r="E160" s="83"/>
      <c r="F160" s="82" t="s">
        <v>2</v>
      </c>
      <c r="G160" s="83"/>
      <c r="H160" s="82" t="s">
        <v>3</v>
      </c>
      <c r="I160" s="83"/>
    </row>
    <row r="161" spans="1:10" ht="15.75" customHeight="1" x14ac:dyDescent="0.3">
      <c r="A161" s="84" t="s">
        <v>30</v>
      </c>
      <c r="B161" s="12" t="s">
        <v>5</v>
      </c>
      <c r="C161" s="13">
        <v>20</v>
      </c>
      <c r="D161" s="14" t="s">
        <v>5</v>
      </c>
      <c r="E161" s="13">
        <v>20</v>
      </c>
      <c r="F161" s="14" t="s">
        <v>5</v>
      </c>
      <c r="G161" s="13">
        <v>30</v>
      </c>
      <c r="H161" s="14" t="s">
        <v>5</v>
      </c>
      <c r="I161" s="13">
        <v>30</v>
      </c>
    </row>
    <row r="162" spans="1:10" ht="15.75" customHeight="1" x14ac:dyDescent="0.3">
      <c r="A162" s="98"/>
      <c r="B162" s="87" t="s">
        <v>6</v>
      </c>
      <c r="C162" s="89">
        <v>3542</v>
      </c>
      <c r="D162" s="87" t="s">
        <v>6</v>
      </c>
      <c r="E162" s="89">
        <v>26876</v>
      </c>
      <c r="F162" s="87" t="s">
        <v>6</v>
      </c>
      <c r="G162" s="89">
        <v>13292</v>
      </c>
      <c r="H162" s="87" t="s">
        <v>6</v>
      </c>
      <c r="I162" s="89">
        <v>150528</v>
      </c>
    </row>
    <row r="163" spans="1:10" ht="15.75" customHeight="1" thickBot="1" x14ac:dyDescent="0.35">
      <c r="A163" s="98"/>
      <c r="B163" s="88"/>
      <c r="C163" s="90"/>
      <c r="D163" s="88"/>
      <c r="E163" s="90"/>
      <c r="F163" s="88"/>
      <c r="G163" s="90"/>
      <c r="H163" s="88"/>
      <c r="I163" s="90"/>
    </row>
    <row r="164" spans="1:10" ht="15.75" customHeight="1" thickTop="1" thickBot="1" x14ac:dyDescent="0.35">
      <c r="A164" s="99"/>
      <c r="B164" s="15" t="s">
        <v>7</v>
      </c>
      <c r="C164" s="16" t="s">
        <v>8</v>
      </c>
      <c r="D164" s="15" t="s">
        <v>7</v>
      </c>
      <c r="E164" s="17" t="s">
        <v>8</v>
      </c>
      <c r="F164" s="15" t="s">
        <v>7</v>
      </c>
      <c r="G164" s="16" t="s">
        <v>8</v>
      </c>
      <c r="H164" s="15" t="s">
        <v>7</v>
      </c>
      <c r="I164" s="17" t="s">
        <v>8</v>
      </c>
    </row>
    <row r="165" spans="1:10" ht="15.75" customHeight="1" thickTop="1" thickBot="1" x14ac:dyDescent="0.35">
      <c r="A165" s="39" t="s">
        <v>11</v>
      </c>
      <c r="B165" s="19">
        <v>3648</v>
      </c>
      <c r="C165" s="20">
        <v>27.54</v>
      </c>
      <c r="D165" s="21">
        <v>30492</v>
      </c>
      <c r="E165" s="22">
        <v>26.516999999999999</v>
      </c>
      <c r="F165" s="19">
        <v>13496</v>
      </c>
      <c r="G165" s="20">
        <v>29.9</v>
      </c>
      <c r="H165" s="21">
        <v>180600</v>
      </c>
      <c r="I165" s="22">
        <v>19.41</v>
      </c>
    </row>
    <row r="166" spans="1:10" ht="15.75" customHeight="1" thickBot="1" x14ac:dyDescent="0.35">
      <c r="A166" s="23" t="s">
        <v>12</v>
      </c>
      <c r="B166" s="19">
        <v>3666</v>
      </c>
      <c r="C166" s="20">
        <v>29.62</v>
      </c>
      <c r="D166" s="21">
        <v>31674</v>
      </c>
      <c r="E166" s="22">
        <v>27.71</v>
      </c>
      <c r="F166" s="19">
        <v>13512</v>
      </c>
      <c r="G166" s="20">
        <v>30.81</v>
      </c>
      <c r="H166" s="21">
        <v>181638</v>
      </c>
      <c r="I166" s="22">
        <v>31.09</v>
      </c>
      <c r="J166" s="49"/>
    </row>
    <row r="167" spans="1:10" ht="15.75" customHeight="1" thickBot="1" x14ac:dyDescent="0.35">
      <c r="A167" s="23" t="s">
        <v>13</v>
      </c>
      <c r="B167" s="19">
        <v>3690</v>
      </c>
      <c r="C167" s="20">
        <v>27.17</v>
      </c>
      <c r="D167" s="21">
        <v>31486</v>
      </c>
      <c r="E167" s="22">
        <v>27.32</v>
      </c>
      <c r="F167" s="19">
        <v>13516</v>
      </c>
      <c r="G167" s="20">
        <v>30.66</v>
      </c>
      <c r="H167" s="21">
        <v>178982</v>
      </c>
      <c r="I167" s="22">
        <v>32.25</v>
      </c>
    </row>
    <row r="168" spans="1:10" ht="15.75" customHeight="1" thickBot="1" x14ac:dyDescent="0.35">
      <c r="A168" s="23" t="s">
        <v>14</v>
      </c>
      <c r="B168" s="19">
        <v>3654</v>
      </c>
      <c r="C168" s="20">
        <v>28.03</v>
      </c>
      <c r="D168" s="21">
        <v>32256</v>
      </c>
      <c r="E168" s="22">
        <v>17.760000000000002</v>
      </c>
      <c r="F168" s="19">
        <v>13488</v>
      </c>
      <c r="G168" s="20">
        <v>30.87</v>
      </c>
      <c r="H168" s="21">
        <v>181264</v>
      </c>
      <c r="I168" s="22">
        <v>30.67</v>
      </c>
    </row>
    <row r="169" spans="1:10" ht="15.75" customHeight="1" thickBot="1" x14ac:dyDescent="0.35">
      <c r="A169" s="24" t="s">
        <v>15</v>
      </c>
      <c r="B169" s="25">
        <v>3662</v>
      </c>
      <c r="C169" s="26">
        <v>26.55</v>
      </c>
      <c r="D169" s="27">
        <v>31358</v>
      </c>
      <c r="E169" s="28">
        <v>27.31</v>
      </c>
      <c r="F169" s="25">
        <v>13480</v>
      </c>
      <c r="G169" s="26">
        <v>31.65</v>
      </c>
      <c r="H169" s="27">
        <v>177890</v>
      </c>
      <c r="I169" s="28">
        <v>31.02</v>
      </c>
    </row>
    <row r="170" spans="1:10" ht="15.75" customHeight="1" thickTop="1" thickBot="1" x14ac:dyDescent="0.35">
      <c r="A170" s="9" t="s">
        <v>10</v>
      </c>
      <c r="B170" s="10">
        <f>AVERAGE((B165-$C$12)/$C$12,(B166-$C$12)/$C$12,(B167-$C$12)/$C$12,(B168-$C$12)/$C$12,(B169-$C$12)/$C$12)</f>
        <v>3.4443817052512697E-2</v>
      </c>
      <c r="C170" s="11">
        <f>AVERAGE(C165:C169)</f>
        <v>27.782</v>
      </c>
      <c r="D170" s="10">
        <f>AVERAGE((D165-$E$12)/$E$12,(D166-$E$12)/$E$12,(D167-$E$12)/$E$12,(D168-$E$12)/$E$12,(D169-$E$12)/$E$12)</f>
        <v>0.17030808155975591</v>
      </c>
      <c r="E170" s="11">
        <f>AVERAGE(E165:E169)</f>
        <v>25.323399999999999</v>
      </c>
      <c r="F170" s="10">
        <f>AVERAGE((F165-$G$12)/$G$12,(F166-$G$12)/$G$12,(F167-$G$12)/$G$12,(F168-$G$12)/$G$12,(F169-$G$12)/$G$12)</f>
        <v>1.5528137225398735E-2</v>
      </c>
      <c r="G170" s="11">
        <f>AVERAGE(G165:G169)</f>
        <v>30.777999999999999</v>
      </c>
      <c r="H170" s="10">
        <f>AVERAGE((H165-$I$12)/$I$12,(H166-$I$12)/$I$12,(H167-$I$12)/$I$12,(H168-$I$12)/$I$12,(H169-$I$12)/$I$12)</f>
        <v>0.19628773384353743</v>
      </c>
      <c r="I170" s="11">
        <f>AVERAGE(I165:I169)</f>
        <v>28.887999999999998</v>
      </c>
    </row>
    <row r="171" spans="1:10" ht="15.75" customHeight="1" thickBot="1" x14ac:dyDescent="0.35">
      <c r="A171" s="23" t="s">
        <v>16</v>
      </c>
      <c r="B171" s="29">
        <f>STDEV((B165-$C$12)/$C$12,(B166-$C$12)/$C$12,(B167-$C$12)/$C$12,(B168-$C$12)/$C$12,(B169-$C$12)/$C$12)</f>
        <v>4.5523759165999721E-3</v>
      </c>
      <c r="C171" s="29">
        <f>STDEV(C165:C169)</f>
        <v>1.1608918984987364</v>
      </c>
      <c r="D171" s="29">
        <f>STDEV((D165-$E$12)/$E$12,(D166-$E$12)/$E$12,(D167-$E$12)/$E$12,(D168-$E$12)/$E$12,(D169-$E$12)/$E$12)</f>
        <v>2.373215389007156E-2</v>
      </c>
      <c r="E171" s="29">
        <f>STDEV(E165:E169)</f>
        <v>4.2502514984410054</v>
      </c>
      <c r="F171" s="29">
        <f>STDEV((F165-$G$12)/$G$12,(F166-$G$12)/$G$12,(F167-$G$12)/$G$12,(F168-$G$12)/$G$12,(F169-$G$12)/$G$12)</f>
        <v>1.1577119507475981E-3</v>
      </c>
      <c r="G171" s="29">
        <f>STDEV(G165:G169)</f>
        <v>0.62343403821094023</v>
      </c>
      <c r="H171" s="29">
        <f>STDEV((H165-$I$12)/$I$12,(H166-$I$12)/$I$12,(H167-$I$12)/$I$12,(H168-$I$12)/$I$12,(H169-$I$12)/$I$12)</f>
        <v>1.0556961973375611E-2</v>
      </c>
      <c r="I171" s="29">
        <f>STDEV(I165:I169)</f>
        <v>5.3316338959084399</v>
      </c>
    </row>
    <row r="172" spans="1:10" ht="15.75" customHeight="1" x14ac:dyDescent="0.3">
      <c r="A172" s="37"/>
      <c r="B172" s="38"/>
      <c r="C172" s="38"/>
      <c r="D172" s="38"/>
      <c r="E172" s="38"/>
      <c r="F172" s="38"/>
      <c r="G172" s="38"/>
      <c r="H172" s="38"/>
      <c r="I172" s="38"/>
    </row>
    <row r="173" spans="1:10" ht="31.2" thickBot="1" x14ac:dyDescent="0.5">
      <c r="A173" s="48" t="s">
        <v>32</v>
      </c>
      <c r="B173" s="82" t="s">
        <v>0</v>
      </c>
      <c r="C173" s="83"/>
      <c r="D173" s="82" t="s">
        <v>1</v>
      </c>
      <c r="E173" s="83"/>
      <c r="F173" s="82" t="s">
        <v>2</v>
      </c>
      <c r="G173" s="83"/>
      <c r="H173" s="82" t="s">
        <v>3</v>
      </c>
      <c r="I173" s="83"/>
    </row>
    <row r="174" spans="1:10" ht="15.75" customHeight="1" x14ac:dyDescent="0.3">
      <c r="A174" s="84" t="s">
        <v>30</v>
      </c>
      <c r="B174" s="12" t="s">
        <v>5</v>
      </c>
      <c r="C174" s="13">
        <v>20</v>
      </c>
      <c r="D174" s="14" t="s">
        <v>5</v>
      </c>
      <c r="E174" s="13">
        <v>20</v>
      </c>
      <c r="F174" s="14" t="s">
        <v>5</v>
      </c>
      <c r="G174" s="13">
        <v>30</v>
      </c>
      <c r="H174" s="14" t="s">
        <v>5</v>
      </c>
      <c r="I174" s="13">
        <v>30</v>
      </c>
    </row>
    <row r="175" spans="1:10" ht="15.75" customHeight="1" x14ac:dyDescent="0.3">
      <c r="A175" s="98"/>
      <c r="B175" s="87" t="s">
        <v>6</v>
      </c>
      <c r="C175" s="89">
        <v>3542</v>
      </c>
      <c r="D175" s="87" t="s">
        <v>6</v>
      </c>
      <c r="E175" s="89">
        <v>26876</v>
      </c>
      <c r="F175" s="87" t="s">
        <v>6</v>
      </c>
      <c r="G175" s="89">
        <v>13292</v>
      </c>
      <c r="H175" s="87" t="s">
        <v>6</v>
      </c>
      <c r="I175" s="89">
        <v>150528</v>
      </c>
    </row>
    <row r="176" spans="1:10" ht="15.75" customHeight="1" thickBot="1" x14ac:dyDescent="0.35">
      <c r="A176" s="98"/>
      <c r="B176" s="88"/>
      <c r="C176" s="90"/>
      <c r="D176" s="88"/>
      <c r="E176" s="90"/>
      <c r="F176" s="88"/>
      <c r="G176" s="90"/>
      <c r="H176" s="88"/>
      <c r="I176" s="90"/>
    </row>
    <row r="177" spans="1:15" ht="15.75" customHeight="1" thickTop="1" thickBot="1" x14ac:dyDescent="0.35">
      <c r="A177" s="99"/>
      <c r="B177" s="15" t="s">
        <v>7</v>
      </c>
      <c r="C177" s="16" t="s">
        <v>8</v>
      </c>
      <c r="D177" s="15" t="s">
        <v>7</v>
      </c>
      <c r="E177" s="17" t="s">
        <v>8</v>
      </c>
      <c r="F177" s="15" t="s">
        <v>7</v>
      </c>
      <c r="G177" s="16" t="s">
        <v>8</v>
      </c>
      <c r="H177" s="15" t="s">
        <v>7</v>
      </c>
      <c r="I177" s="17" t="s">
        <v>8</v>
      </c>
    </row>
    <row r="178" spans="1:15" ht="15.75" customHeight="1" thickTop="1" thickBot="1" x14ac:dyDescent="0.35">
      <c r="A178" s="39" t="s">
        <v>11</v>
      </c>
      <c r="B178" s="19">
        <v>3644</v>
      </c>
      <c r="C178" s="20">
        <v>26.28</v>
      </c>
      <c r="D178" s="21">
        <v>31498</v>
      </c>
      <c r="E178" s="22">
        <v>25.82</v>
      </c>
      <c r="F178" s="19">
        <v>13542</v>
      </c>
      <c r="G178" s="20">
        <v>29.2</v>
      </c>
      <c r="H178" s="21">
        <v>183756</v>
      </c>
      <c r="I178" s="22">
        <v>29.26</v>
      </c>
    </row>
    <row r="179" spans="1:15" ht="15.75" customHeight="1" thickBot="1" x14ac:dyDescent="0.35">
      <c r="A179" s="23" t="s">
        <v>12</v>
      </c>
      <c r="B179" s="19">
        <v>3618</v>
      </c>
      <c r="C179" s="20">
        <v>15.58</v>
      </c>
      <c r="D179" s="21">
        <v>30646</v>
      </c>
      <c r="E179" s="22">
        <v>25.68</v>
      </c>
      <c r="F179" s="19">
        <v>13488</v>
      </c>
      <c r="G179" s="20">
        <v>29.27</v>
      </c>
      <c r="H179" s="21">
        <v>179804</v>
      </c>
      <c r="I179" s="22">
        <v>29.32</v>
      </c>
    </row>
    <row r="180" spans="1:15" ht="15.75" customHeight="1" thickBot="1" x14ac:dyDescent="0.35">
      <c r="A180" s="23" t="s">
        <v>13</v>
      </c>
      <c r="B180" s="19">
        <v>3676</v>
      </c>
      <c r="C180" s="20">
        <v>26.71</v>
      </c>
      <c r="D180" s="21">
        <v>31920</v>
      </c>
      <c r="E180" s="22">
        <v>27.74</v>
      </c>
      <c r="F180" s="19">
        <v>13526</v>
      </c>
      <c r="G180" s="20">
        <v>31.47</v>
      </c>
      <c r="H180" s="21">
        <v>178308</v>
      </c>
      <c r="I180" s="22">
        <v>31.344000000000001</v>
      </c>
    </row>
    <row r="181" spans="1:15" ht="15.75" customHeight="1" thickBot="1" x14ac:dyDescent="0.35">
      <c r="A181" s="23" t="s">
        <v>14</v>
      </c>
      <c r="B181" s="19">
        <v>3640</v>
      </c>
      <c r="C181" s="20">
        <v>25.96</v>
      </c>
      <c r="D181" s="21">
        <v>31912</v>
      </c>
      <c r="E181" s="22">
        <v>26.8</v>
      </c>
      <c r="F181" s="19">
        <v>13582</v>
      </c>
      <c r="G181" s="20">
        <v>30.91</v>
      </c>
      <c r="H181" s="21">
        <v>178628</v>
      </c>
      <c r="I181" s="22">
        <v>31.11</v>
      </c>
    </row>
    <row r="182" spans="1:15" ht="15.75" customHeight="1" thickBot="1" x14ac:dyDescent="0.35">
      <c r="A182" s="24" t="s">
        <v>15</v>
      </c>
      <c r="B182" s="25">
        <v>3674</v>
      </c>
      <c r="C182" s="26">
        <v>26.15</v>
      </c>
      <c r="D182" s="27">
        <v>32088</v>
      </c>
      <c r="E182" s="28">
        <v>26.84</v>
      </c>
      <c r="F182" s="25">
        <v>13546</v>
      </c>
      <c r="G182" s="26">
        <v>31.88</v>
      </c>
      <c r="H182" s="27">
        <v>183636</v>
      </c>
      <c r="I182" s="28">
        <v>31.35</v>
      </c>
    </row>
    <row r="183" spans="1:15" ht="15.75" customHeight="1" thickTop="1" thickBot="1" x14ac:dyDescent="0.35">
      <c r="A183" s="9" t="s">
        <v>10</v>
      </c>
      <c r="B183" s="10">
        <f>AVERAGE((B178-$C$12)/$C$12,(B179-$C$12)/$C$12,(B180-$C$12)/$C$12,(B181-$C$12)/$C$12,(B182-$C$12)/$C$12)</f>
        <v>3.0604178430265382E-2</v>
      </c>
      <c r="C183" s="11">
        <f>AVERAGE(C178:C182)</f>
        <v>24.136000000000003</v>
      </c>
      <c r="D183" s="10">
        <f>AVERAGE((D178-$E$12)/$E$12,(D179-$E$12)/$E$12,(D180-$E$12)/$E$12,(D181-$E$12)/$E$12,(D182-$E$12)/$E$12)</f>
        <v>0.17624646524780471</v>
      </c>
      <c r="E183" s="11">
        <f>AVERAGE(E178:E182)</f>
        <v>26.576000000000001</v>
      </c>
      <c r="F183" s="10">
        <f>AVERAGE((F178-$G$12)/$G$12,(F179-$G$12)/$G$12,(F180-$G$12)/$G$12,(F181-$G$12)/$G$12,(F182-$G$12)/$G$12)</f>
        <v>1.8417092988263613E-2</v>
      </c>
      <c r="G183" s="11">
        <f>AVERAGE(G178:G182)</f>
        <v>30.545999999999999</v>
      </c>
      <c r="H183" s="10">
        <f>AVERAGE((H178-$I$12)/$I$12,(H179-$I$12)/$I$12,(H180-$I$12)/$I$12,(H181-$I$12)/$I$12,(H182-$I$12)/$I$12)</f>
        <v>0.20128082482993195</v>
      </c>
      <c r="I183" s="11">
        <f>AVERAGE(I178:I182)</f>
        <v>30.476800000000004</v>
      </c>
    </row>
    <row r="184" spans="1:15" ht="15.75" customHeight="1" thickBot="1" x14ac:dyDescent="0.35">
      <c r="A184" s="23" t="s">
        <v>16</v>
      </c>
      <c r="B184" s="29">
        <f>STDEV((B178-$C$12)/$C$12,(B179-$C$12)/$C$12,(B180-$C$12)/$C$12,(B181-$C$12)/$C$12,(B182-$C$12)/$C$12)</f>
        <v>6.9316729709425024E-3</v>
      </c>
      <c r="C184" s="29">
        <f>STDEV(C178:C182)</f>
        <v>4.7908903139186982</v>
      </c>
      <c r="D184" s="29">
        <f>STDEV((D178-$E$12)/$E$12,(D179-$E$12)/$E$12,(D180-$E$12)/$E$12,(D181-$E$12)/$E$12,(D182-$E$12)/$E$12)</f>
        <v>2.167651672267875E-2</v>
      </c>
      <c r="E184" s="29">
        <f>STDEV(E178:E182)</f>
        <v>0.84396682399250689</v>
      </c>
      <c r="F184" s="29">
        <f>STDEV((F178-$G$12)/$G$12,(F179-$G$12)/$G$12,(F180-$G$12)/$G$12,(F181-$G$12)/$G$12,(F182-$G$12)/$G$12)</f>
        <v>2.565883087245526E-3</v>
      </c>
      <c r="G184" s="29">
        <f>STDEV(G178:G182)</f>
        <v>1.2455641292201696</v>
      </c>
      <c r="H184" s="29">
        <f>STDEV((H178-$I$12)/$I$12,(H179-$I$12)/$I$12,(H180-$I$12)/$I$12,(H181-$I$12)/$I$12,(H182-$I$12)/$I$12)</f>
        <v>1.7793895944346414E-2</v>
      </c>
      <c r="I184" s="29">
        <f>STDEV(I178:I182)</f>
        <v>1.0879159894035937</v>
      </c>
    </row>
    <row r="185" spans="1:15" ht="15.75" customHeight="1" x14ac:dyDescent="0.3">
      <c r="A185" s="37"/>
      <c r="B185" s="38"/>
      <c r="C185" s="38"/>
      <c r="D185" s="38"/>
      <c r="E185" s="38"/>
      <c r="F185" s="38"/>
      <c r="G185" s="38"/>
      <c r="H185" s="38"/>
      <c r="I185" s="38"/>
    </row>
    <row r="186" spans="1:15" ht="15.75" customHeight="1" x14ac:dyDescent="0.3"/>
    <row r="187" spans="1:15" ht="15.75" customHeight="1" x14ac:dyDescent="0.3"/>
    <row r="188" spans="1:15" ht="15.75" customHeight="1" thickBot="1" x14ac:dyDescent="0.35"/>
    <row r="189" spans="1:15" ht="15.75" customHeight="1" thickTop="1" thickBot="1" x14ac:dyDescent="0.35">
      <c r="A189" s="116"/>
      <c r="B189" s="76" t="s">
        <v>0</v>
      </c>
      <c r="C189" s="77"/>
      <c r="D189" s="78" t="s">
        <v>1</v>
      </c>
      <c r="E189" s="77"/>
      <c r="F189" s="78" t="s">
        <v>2</v>
      </c>
      <c r="G189" s="77"/>
      <c r="H189" s="78" t="s">
        <v>3</v>
      </c>
      <c r="I189" s="79"/>
      <c r="J189" s="80" t="s">
        <v>19</v>
      </c>
      <c r="K189" s="81"/>
      <c r="O189" t="str">
        <f>J190</f>
        <v>Media</v>
      </c>
    </row>
    <row r="190" spans="1:15" ht="15.75" customHeight="1" thickBot="1" x14ac:dyDescent="0.35">
      <c r="A190" s="116"/>
      <c r="B190" s="15" t="s">
        <v>10</v>
      </c>
      <c r="C190" s="16" t="s">
        <v>8</v>
      </c>
      <c r="D190" s="15" t="s">
        <v>10</v>
      </c>
      <c r="E190" s="17" t="s">
        <v>8</v>
      </c>
      <c r="F190" s="15" t="s">
        <v>10</v>
      </c>
      <c r="G190" s="16" t="s">
        <v>8</v>
      </c>
      <c r="H190" s="15" t="s">
        <v>10</v>
      </c>
      <c r="I190" s="17" t="s">
        <v>8</v>
      </c>
      <c r="J190" s="31" t="s">
        <v>10</v>
      </c>
      <c r="K190" s="32" t="s">
        <v>8</v>
      </c>
      <c r="N190" s="46" t="str">
        <f>A191</f>
        <v>Est: Cruce=OX2, M=100, kBest=2, kWorst=2</v>
      </c>
      <c r="O190" s="42">
        <f>J191</f>
        <v>0.12737465087623068</v>
      </c>
    </row>
    <row r="191" spans="1:15" ht="94.8" thickTop="1" thickBot="1" x14ac:dyDescent="0.35">
      <c r="A191" s="54" t="s">
        <v>31</v>
      </c>
      <c r="B191" s="50">
        <f t="shared" ref="B191:I191" si="28">B170</f>
        <v>3.4443817052512697E-2</v>
      </c>
      <c r="C191" s="29">
        <f t="shared" si="28"/>
        <v>27.782</v>
      </c>
      <c r="D191" s="43">
        <f t="shared" si="28"/>
        <v>0.17030808155975591</v>
      </c>
      <c r="E191" s="29">
        <f t="shared" si="28"/>
        <v>25.323399999999999</v>
      </c>
      <c r="F191" s="43">
        <f t="shared" si="28"/>
        <v>1.5528137225398735E-2</v>
      </c>
      <c r="G191" s="29">
        <f t="shared" si="28"/>
        <v>30.777999999999999</v>
      </c>
      <c r="H191" s="43">
        <f t="shared" si="28"/>
        <v>0.19628773384353743</v>
      </c>
      <c r="I191" s="29">
        <f t="shared" si="28"/>
        <v>28.887999999999998</v>
      </c>
      <c r="J191" s="45">
        <f>AVERAGE(B190,D191,F191,H191)</f>
        <v>0.12737465087623068</v>
      </c>
      <c r="K191" s="34">
        <f t="shared" ref="K191:K192" si="29">AVERAGE(C191,E191,G191,I191)</f>
        <v>28.19285</v>
      </c>
      <c r="N191" s="46" t="str">
        <f>A192</f>
        <v>Est: Cruces=MOC, M=100, kBest=2, kWorst=2</v>
      </c>
      <c r="O191" s="42">
        <f>J192</f>
        <v>0.10663714037406641</v>
      </c>
    </row>
    <row r="192" spans="1:15" ht="30" thickTop="1" thickBot="1" x14ac:dyDescent="0.35">
      <c r="A192" s="54" t="s">
        <v>32</v>
      </c>
      <c r="B192" s="50">
        <f t="shared" ref="B192:I192" si="30">B183</f>
        <v>3.0604178430265382E-2</v>
      </c>
      <c r="C192" s="29">
        <f t="shared" si="30"/>
        <v>24.136000000000003</v>
      </c>
      <c r="D192" s="43">
        <f t="shared" si="30"/>
        <v>0.17624646524780471</v>
      </c>
      <c r="E192" s="29">
        <f t="shared" si="30"/>
        <v>26.576000000000001</v>
      </c>
      <c r="F192" s="43">
        <f t="shared" si="30"/>
        <v>1.8417092988263613E-2</v>
      </c>
      <c r="G192" s="29">
        <f t="shared" si="30"/>
        <v>30.545999999999999</v>
      </c>
      <c r="H192" s="43">
        <f t="shared" si="30"/>
        <v>0.20128082482993195</v>
      </c>
      <c r="I192" s="29">
        <f t="shared" si="30"/>
        <v>30.476800000000004</v>
      </c>
      <c r="J192" s="45">
        <f t="shared" ref="J192" si="31">AVERAGE(B192,D192,F192,H192)</f>
        <v>0.10663714037406641</v>
      </c>
      <c r="K192" s="34">
        <f t="shared" si="29"/>
        <v>27.933700000000002</v>
      </c>
      <c r="N192" s="40"/>
      <c r="O192" s="42"/>
    </row>
    <row r="193" spans="1:11" ht="15.75" customHeight="1" thickTop="1" x14ac:dyDescent="0.3"/>
    <row r="194" spans="1:11" ht="15.75" customHeight="1" thickBot="1" x14ac:dyDescent="0.35"/>
    <row r="195" spans="1:11" ht="15.75" customHeight="1" thickTop="1" thickBot="1" x14ac:dyDescent="0.35">
      <c r="A195" s="116"/>
      <c r="B195" s="76" t="s">
        <v>0</v>
      </c>
      <c r="C195" s="77"/>
      <c r="D195" s="78" t="s">
        <v>1</v>
      </c>
      <c r="E195" s="77"/>
      <c r="F195" s="78" t="s">
        <v>2</v>
      </c>
      <c r="G195" s="77"/>
      <c r="H195" s="78" t="s">
        <v>3</v>
      </c>
      <c r="I195" s="79"/>
      <c r="J195" s="80" t="s">
        <v>17</v>
      </c>
      <c r="K195" s="81"/>
    </row>
    <row r="196" spans="1:11" ht="15.75" customHeight="1" thickBot="1" x14ac:dyDescent="0.35">
      <c r="A196" s="116"/>
      <c r="B196" s="15" t="s">
        <v>18</v>
      </c>
      <c r="C196" s="16" t="s">
        <v>8</v>
      </c>
      <c r="D196" s="15" t="s">
        <v>18</v>
      </c>
      <c r="E196" s="17" t="s">
        <v>8</v>
      </c>
      <c r="F196" s="15" t="s">
        <v>18</v>
      </c>
      <c r="G196" s="16" t="s">
        <v>8</v>
      </c>
      <c r="H196" s="15" t="s">
        <v>18</v>
      </c>
      <c r="I196" s="17" t="s">
        <v>8</v>
      </c>
      <c r="J196" s="31" t="s">
        <v>18</v>
      </c>
      <c r="K196" s="32" t="s">
        <v>8</v>
      </c>
    </row>
    <row r="197" spans="1:11" ht="30" thickTop="1" thickBot="1" x14ac:dyDescent="0.35">
      <c r="A197" s="54" t="s">
        <v>31</v>
      </c>
      <c r="B197" s="52">
        <f t="shared" ref="B197:I197" si="32">B171</f>
        <v>4.5523759165999721E-3</v>
      </c>
      <c r="C197" s="52">
        <f t="shared" si="32"/>
        <v>1.1608918984987364</v>
      </c>
      <c r="D197" s="52">
        <f t="shared" si="32"/>
        <v>2.373215389007156E-2</v>
      </c>
      <c r="E197" s="52">
        <f t="shared" si="32"/>
        <v>4.2502514984410054</v>
      </c>
      <c r="F197" s="52">
        <f t="shared" si="32"/>
        <v>1.1577119507475981E-3</v>
      </c>
      <c r="G197" s="52">
        <f t="shared" si="32"/>
        <v>0.62343403821094023</v>
      </c>
      <c r="H197" s="52">
        <f t="shared" si="32"/>
        <v>1.0556961973375611E-2</v>
      </c>
      <c r="I197" s="52">
        <f t="shared" si="32"/>
        <v>5.3316338959084399</v>
      </c>
      <c r="J197" s="33">
        <f t="shared" ref="J197:J198" si="33">AVERAGE(B197,D197,F197,H197)</f>
        <v>9.9998009326986853E-3</v>
      </c>
      <c r="K197" s="34">
        <f t="shared" ref="K197:K198" si="34">AVERAGE(C197,E197,G197,I197)</f>
        <v>2.8415528327647808</v>
      </c>
    </row>
    <row r="198" spans="1:11" ht="30" thickTop="1" thickBot="1" x14ac:dyDescent="0.35">
      <c r="A198" s="54" t="s">
        <v>32</v>
      </c>
      <c r="B198" s="52">
        <f t="shared" ref="B198:I198" si="35">B184</f>
        <v>6.9316729709425024E-3</v>
      </c>
      <c r="C198" s="52">
        <f t="shared" si="35"/>
        <v>4.7908903139186982</v>
      </c>
      <c r="D198" s="52">
        <f t="shared" si="35"/>
        <v>2.167651672267875E-2</v>
      </c>
      <c r="E198" s="52">
        <f t="shared" si="35"/>
        <v>0.84396682399250689</v>
      </c>
      <c r="F198" s="52">
        <f t="shared" si="35"/>
        <v>2.565883087245526E-3</v>
      </c>
      <c r="G198" s="52">
        <f t="shared" si="35"/>
        <v>1.2455641292201696</v>
      </c>
      <c r="H198" s="52">
        <f t="shared" si="35"/>
        <v>1.7793895944346414E-2</v>
      </c>
      <c r="I198" s="52">
        <f t="shared" si="35"/>
        <v>1.0879159894035937</v>
      </c>
      <c r="J198" s="33">
        <f t="shared" si="33"/>
        <v>1.2241992181303299E-2</v>
      </c>
      <c r="K198" s="34">
        <f t="shared" si="34"/>
        <v>1.9920843141337421</v>
      </c>
    </row>
    <row r="199" spans="1:11" ht="15.75" customHeight="1" thickTop="1" x14ac:dyDescent="0.3"/>
    <row r="200" spans="1:11" ht="15.75" customHeight="1" x14ac:dyDescent="0.3"/>
    <row r="201" spans="1:11" ht="15.75" customHeight="1" x14ac:dyDescent="0.3">
      <c r="A201" s="74" t="s">
        <v>42</v>
      </c>
    </row>
    <row r="202" spans="1:11" ht="15.75" customHeight="1" thickBot="1" x14ac:dyDescent="0.35"/>
    <row r="203" spans="1:11" ht="15.75" customHeight="1" thickTop="1" thickBot="1" x14ac:dyDescent="0.35">
      <c r="A203" s="116"/>
      <c r="B203" s="76" t="s">
        <v>0</v>
      </c>
      <c r="C203" s="77"/>
      <c r="D203" s="78" t="s">
        <v>1</v>
      </c>
      <c r="E203" s="77"/>
      <c r="F203" s="78" t="s">
        <v>2</v>
      </c>
      <c r="G203" s="77"/>
      <c r="H203" s="78" t="s">
        <v>3</v>
      </c>
      <c r="I203" s="79"/>
      <c r="J203" s="80" t="s">
        <v>17</v>
      </c>
      <c r="K203" s="81"/>
    </row>
    <row r="204" spans="1:11" ht="15.75" customHeight="1" thickBot="1" x14ac:dyDescent="0.35">
      <c r="A204" s="116"/>
      <c r="B204" s="15" t="s">
        <v>18</v>
      </c>
      <c r="C204" s="16" t="s">
        <v>8</v>
      </c>
      <c r="D204" s="15" t="s">
        <v>18</v>
      </c>
      <c r="E204" s="17" t="s">
        <v>8</v>
      </c>
      <c r="F204" s="15" t="s">
        <v>18</v>
      </c>
      <c r="G204" s="16" t="s">
        <v>8</v>
      </c>
      <c r="H204" s="15" t="s">
        <v>18</v>
      </c>
      <c r="I204" s="17" t="s">
        <v>8</v>
      </c>
      <c r="J204" s="31" t="s">
        <v>18</v>
      </c>
      <c r="K204" s="32" t="s">
        <v>8</v>
      </c>
    </row>
    <row r="205" spans="1:11" ht="30" thickTop="1" thickBot="1" x14ac:dyDescent="0.35">
      <c r="A205" s="54" t="s">
        <v>41</v>
      </c>
      <c r="B205" s="52">
        <v>7.6738779304774537E-3</v>
      </c>
      <c r="C205" s="52">
        <v>0.17505770477188384</v>
      </c>
      <c r="D205" s="52">
        <v>6.807014222113271E-2</v>
      </c>
      <c r="E205" s="52">
        <v>6.6558245169174926E-2</v>
      </c>
      <c r="F205" s="52">
        <v>2.911827035865728E-3</v>
      </c>
      <c r="G205" s="52">
        <v>0.21185797129209005</v>
      </c>
      <c r="H205" s="52">
        <v>6.4714395006243578E-3</v>
      </c>
      <c r="I205" s="52">
        <v>0.24113440235686009</v>
      </c>
      <c r="J205" s="33">
        <v>2.1281821672025063E-2</v>
      </c>
      <c r="K205" s="34">
        <v>0.17365208089750223</v>
      </c>
    </row>
    <row r="206" spans="1:11" ht="30" thickTop="1" thickBot="1" x14ac:dyDescent="0.35">
      <c r="A206" s="54" t="s">
        <v>37</v>
      </c>
      <c r="B206" s="52">
        <v>2.2014216476135434E-3</v>
      </c>
      <c r="C206" s="52">
        <v>0.14587666023048382</v>
      </c>
      <c r="D206" s="52">
        <v>7.3484207815387295E-2</v>
      </c>
      <c r="E206" s="52">
        <v>0.2075572210259139</v>
      </c>
      <c r="F206" s="52">
        <v>3.2609935751087725E-3</v>
      </c>
      <c r="G206" s="52">
        <v>0.17277152543170995</v>
      </c>
      <c r="H206" s="52">
        <v>4.3809653967117057E-3</v>
      </c>
      <c r="I206" s="52">
        <v>6.8044103344816032E-2</v>
      </c>
      <c r="J206" s="33">
        <v>2.0831897108705328E-2</v>
      </c>
      <c r="K206" s="34">
        <v>0.14856237750823093</v>
      </c>
    </row>
    <row r="207" spans="1:11" ht="15.75" customHeight="1" thickTop="1" x14ac:dyDescent="0.3"/>
    <row r="208" spans="1:11" ht="15.75" customHeight="1" x14ac:dyDescent="0.3"/>
    <row r="209" spans="1:27" ht="15.75" customHeight="1" x14ac:dyDescent="0.3">
      <c r="A209" s="74" t="s">
        <v>43</v>
      </c>
    </row>
    <row r="210" spans="1:27" ht="15.75" customHeight="1" thickBot="1" x14ac:dyDescent="0.35"/>
    <row r="211" spans="1:27" ht="15.75" customHeight="1" thickTop="1" thickBot="1" x14ac:dyDescent="0.35">
      <c r="A211" s="75" t="s">
        <v>43</v>
      </c>
      <c r="B211" s="76" t="s">
        <v>0</v>
      </c>
      <c r="C211" s="77"/>
      <c r="D211" s="78" t="s">
        <v>1</v>
      </c>
      <c r="E211" s="77"/>
      <c r="F211" s="78" t="s">
        <v>2</v>
      </c>
      <c r="G211" s="77"/>
      <c r="H211" s="78" t="s">
        <v>3</v>
      </c>
      <c r="I211" s="79"/>
      <c r="J211" s="80" t="s">
        <v>19</v>
      </c>
      <c r="K211" s="81"/>
    </row>
    <row r="212" spans="1:27" ht="15.75" customHeight="1" thickTop="1" thickBot="1" x14ac:dyDescent="0.35">
      <c r="A212" s="75"/>
      <c r="B212" s="15" t="s">
        <v>10</v>
      </c>
      <c r="C212" s="16" t="s">
        <v>8</v>
      </c>
      <c r="D212" s="15" t="s">
        <v>10</v>
      </c>
      <c r="E212" s="17" t="s">
        <v>8</v>
      </c>
      <c r="F212" s="15" t="s">
        <v>10</v>
      </c>
      <c r="G212" s="16" t="s">
        <v>8</v>
      </c>
      <c r="H212" s="15" t="s">
        <v>10</v>
      </c>
      <c r="I212" s="17" t="s">
        <v>8</v>
      </c>
      <c r="J212" s="31" t="s">
        <v>10</v>
      </c>
      <c r="K212" s="32" t="s">
        <v>8</v>
      </c>
      <c r="O212" s="54" t="str">
        <f t="shared" ref="O212:O214" si="36">A213</f>
        <v>Generacional Cruce=MOC, E=2, kBest=3, kWorst=3</v>
      </c>
      <c r="P212" s="42">
        <f t="shared" ref="P212:P214" si="37">J213</f>
        <v>7.2317833124453404E-2</v>
      </c>
      <c r="Z212" s="54" t="s">
        <v>46</v>
      </c>
      <c r="AA212" s="73">
        <f t="shared" ref="AA212:AA214" si="38">K213</f>
        <v>5.8832500000000003</v>
      </c>
    </row>
    <row r="213" spans="1:27" ht="87.6" thickTop="1" thickBot="1" x14ac:dyDescent="0.35">
      <c r="A213" s="54" t="s">
        <v>46</v>
      </c>
      <c r="B213" s="50">
        <v>1.9875776397515529E-2</v>
      </c>
      <c r="C213" s="29">
        <v>3.9859999999999998</v>
      </c>
      <c r="D213" s="43">
        <v>7.855335615418961E-2</v>
      </c>
      <c r="E213" s="29">
        <v>4.016</v>
      </c>
      <c r="F213" s="43">
        <v>9.058080048149262E-3</v>
      </c>
      <c r="G213" s="29">
        <v>7.7200000000000006</v>
      </c>
      <c r="H213" s="43">
        <v>0.1817841198979592</v>
      </c>
      <c r="I213" s="29">
        <v>7.8109999999999999</v>
      </c>
      <c r="J213" s="45">
        <v>7.2317833124453404E-2</v>
      </c>
      <c r="K213" s="34">
        <v>5.8832500000000003</v>
      </c>
      <c r="O213" s="54" t="str">
        <f t="shared" si="36"/>
        <v>Estacionario Cruce=MOC, E=1, kBest=3, kWorst=3</v>
      </c>
      <c r="P213" s="42">
        <f t="shared" si="37"/>
        <v>0.10663714037406641</v>
      </c>
      <c r="Z213" s="54" t="s">
        <v>45</v>
      </c>
      <c r="AA213" s="73">
        <f t="shared" si="38"/>
        <v>27.933700000000002</v>
      </c>
    </row>
    <row r="214" spans="1:27" ht="30" thickTop="1" thickBot="1" x14ac:dyDescent="0.35">
      <c r="A214" s="54" t="s">
        <v>45</v>
      </c>
      <c r="B214" s="50">
        <v>3.0604178430265382E-2</v>
      </c>
      <c r="C214" s="29">
        <v>24.136000000000003</v>
      </c>
      <c r="D214" s="43">
        <v>0.17624646524780471</v>
      </c>
      <c r="E214" s="29">
        <v>26.576000000000001</v>
      </c>
      <c r="F214" s="43">
        <v>1.8417092988263613E-2</v>
      </c>
      <c r="G214" s="29">
        <v>30.545999999999999</v>
      </c>
      <c r="H214" s="43">
        <v>0.20128082482993195</v>
      </c>
      <c r="I214" s="29">
        <v>30.476800000000004</v>
      </c>
      <c r="J214" s="45">
        <v>0.10663714037406641</v>
      </c>
      <c r="K214" s="34">
        <v>27.933700000000002</v>
      </c>
      <c r="O214" s="54" t="str">
        <f t="shared" si="36"/>
        <v>TABU</v>
      </c>
      <c r="P214" s="42">
        <f t="shared" si="37"/>
        <v>3.4050772222442238E-2</v>
      </c>
      <c r="Z214" s="54" t="s">
        <v>44</v>
      </c>
      <c r="AA214" s="73">
        <f t="shared" si="38"/>
        <v>38.497052233219122</v>
      </c>
    </row>
    <row r="215" spans="1:27" ht="15.75" customHeight="1" thickTop="1" thickBot="1" x14ac:dyDescent="0.35">
      <c r="A215" s="54" t="s">
        <v>44</v>
      </c>
      <c r="B215" s="50">
        <v>1.603613777526821E-2</v>
      </c>
      <c r="C215" s="29">
        <v>19.621681022643997</v>
      </c>
      <c r="D215" s="43">
        <v>2.3842833755023069E-2</v>
      </c>
      <c r="E215" s="29">
        <v>19.37448072433466</v>
      </c>
      <c r="F215" s="43">
        <v>3.4005416792055368E-3</v>
      </c>
      <c r="G215" s="29">
        <v>57.830047185897818</v>
      </c>
      <c r="H215" s="43">
        <v>9.2923575680272125E-2</v>
      </c>
      <c r="I215" s="29">
        <v>57.161999999999999</v>
      </c>
      <c r="J215" s="45">
        <v>3.4050772222442238E-2</v>
      </c>
      <c r="K215" s="34">
        <v>38.497052233219122</v>
      </c>
    </row>
    <row r="216" spans="1:27" ht="15.75" customHeight="1" thickTop="1" x14ac:dyDescent="0.3"/>
    <row r="217" spans="1:27" ht="15.75" customHeight="1" thickBot="1" x14ac:dyDescent="0.35"/>
    <row r="218" spans="1:27" ht="15.75" customHeight="1" thickTop="1" thickBot="1" x14ac:dyDescent="0.35">
      <c r="A218" s="116"/>
      <c r="B218" s="76" t="s">
        <v>0</v>
      </c>
      <c r="C218" s="77"/>
      <c r="D218" s="78" t="s">
        <v>1</v>
      </c>
      <c r="E218" s="77"/>
      <c r="F218" s="78" t="s">
        <v>2</v>
      </c>
      <c r="G218" s="77"/>
      <c r="H218" s="78" t="s">
        <v>3</v>
      </c>
      <c r="I218" s="79"/>
      <c r="J218" s="80" t="s">
        <v>17</v>
      </c>
      <c r="K218" s="81"/>
    </row>
    <row r="219" spans="1:27" ht="15.75" customHeight="1" thickBot="1" x14ac:dyDescent="0.35">
      <c r="A219" s="116"/>
      <c r="B219" s="15" t="s">
        <v>18</v>
      </c>
      <c r="C219" s="16" t="s">
        <v>8</v>
      </c>
      <c r="D219" s="15" t="s">
        <v>18</v>
      </c>
      <c r="E219" s="17" t="s">
        <v>8</v>
      </c>
      <c r="F219" s="15" t="s">
        <v>18</v>
      </c>
      <c r="G219" s="16" t="s">
        <v>8</v>
      </c>
      <c r="H219" s="15" t="s">
        <v>18</v>
      </c>
      <c r="I219" s="17" t="s">
        <v>8</v>
      </c>
      <c r="J219" s="31" t="s">
        <v>18</v>
      </c>
      <c r="K219" s="32" t="s">
        <v>8</v>
      </c>
    </row>
    <row r="220" spans="1:27" ht="30" thickTop="1" thickBot="1" x14ac:dyDescent="0.35">
      <c r="A220" s="54" t="s">
        <v>46</v>
      </c>
      <c r="B220" s="52">
        <v>2.2014216476135434E-3</v>
      </c>
      <c r="C220" s="52">
        <v>0.14587666023048382</v>
      </c>
      <c r="D220" s="52">
        <v>7.3484207815387295E-2</v>
      </c>
      <c r="E220" s="52">
        <v>0.2075572210259139</v>
      </c>
      <c r="F220" s="52">
        <v>3.2609935751087725E-3</v>
      </c>
      <c r="G220" s="52">
        <v>0.17277152543170995</v>
      </c>
      <c r="H220" s="52">
        <v>4.3809653967117057E-3</v>
      </c>
      <c r="I220" s="52">
        <v>6.8044103344816032E-2</v>
      </c>
      <c r="J220" s="33">
        <v>2.0831897108705328E-2</v>
      </c>
      <c r="K220" s="34">
        <v>0.14856237750823093</v>
      </c>
    </row>
    <row r="221" spans="1:27" ht="30" thickTop="1" thickBot="1" x14ac:dyDescent="0.35">
      <c r="A221" s="54" t="s">
        <v>45</v>
      </c>
      <c r="B221" s="52">
        <f>B198</f>
        <v>6.9316729709425024E-3</v>
      </c>
      <c r="C221" s="52">
        <f t="shared" ref="C221:K221" si="39">C198</f>
        <v>4.7908903139186982</v>
      </c>
      <c r="D221" s="52">
        <f t="shared" si="39"/>
        <v>2.167651672267875E-2</v>
      </c>
      <c r="E221" s="52">
        <f t="shared" si="39"/>
        <v>0.84396682399250689</v>
      </c>
      <c r="F221" s="52">
        <f t="shared" si="39"/>
        <v>2.565883087245526E-3</v>
      </c>
      <c r="G221" s="52">
        <f t="shared" si="39"/>
        <v>1.2455641292201696</v>
      </c>
      <c r="H221" s="52">
        <f t="shared" si="39"/>
        <v>1.7793895944346414E-2</v>
      </c>
      <c r="I221" s="52">
        <f t="shared" si="39"/>
        <v>1.0879159894035937</v>
      </c>
      <c r="J221" s="33">
        <f t="shared" si="39"/>
        <v>1.2241992181303299E-2</v>
      </c>
      <c r="K221" s="34">
        <f t="shared" si="39"/>
        <v>1.9920843141337421</v>
      </c>
    </row>
    <row r="222" spans="1:27" ht="15.75" customHeight="1" thickTop="1" thickBot="1" x14ac:dyDescent="0.35">
      <c r="A222" s="54" t="s">
        <v>44</v>
      </c>
      <c r="B222" s="52">
        <v>7.4867076426729413E-3</v>
      </c>
      <c r="C222" s="52">
        <v>0.42893872913900044</v>
      </c>
      <c r="D222" s="52">
        <v>5.331419705245815E-2</v>
      </c>
      <c r="E222" s="52">
        <v>0.15682835018326802</v>
      </c>
      <c r="F222" s="52">
        <v>6.6102565863643693E-4</v>
      </c>
      <c r="G222" s="52">
        <v>0.66092837323890774</v>
      </c>
      <c r="H222" s="52">
        <v>8.4960842907585973E-2</v>
      </c>
      <c r="I222" s="52">
        <v>1.7560808637417591</v>
      </c>
      <c r="J222" s="33">
        <v>3.6605693315338375E-2</v>
      </c>
      <c r="K222" s="34">
        <v>0.75069407907573382</v>
      </c>
    </row>
    <row r="223" spans="1:27" ht="15.75" customHeight="1" thickTop="1" x14ac:dyDescent="0.3"/>
    <row r="224" spans="1:27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</sheetData>
  <mergeCells count="197">
    <mergeCell ref="A218:A219"/>
    <mergeCell ref="B218:C218"/>
    <mergeCell ref="D218:E218"/>
    <mergeCell ref="F218:G218"/>
    <mergeCell ref="H218:I218"/>
    <mergeCell ref="J218:K218"/>
    <mergeCell ref="A203:A204"/>
    <mergeCell ref="B203:C203"/>
    <mergeCell ref="D203:E203"/>
    <mergeCell ref="F203:G203"/>
    <mergeCell ref="H203:I203"/>
    <mergeCell ref="J203:K203"/>
    <mergeCell ref="J189:K189"/>
    <mergeCell ref="A195:A196"/>
    <mergeCell ref="B195:C195"/>
    <mergeCell ref="D195:E195"/>
    <mergeCell ref="F195:G195"/>
    <mergeCell ref="H195:I195"/>
    <mergeCell ref="J195:K195"/>
    <mergeCell ref="A189:A190"/>
    <mergeCell ref="B189:C189"/>
    <mergeCell ref="D189:E189"/>
    <mergeCell ref="F189:G189"/>
    <mergeCell ref="H189:I189"/>
    <mergeCell ref="B173:C173"/>
    <mergeCell ref="D173:E173"/>
    <mergeCell ref="F173:G173"/>
    <mergeCell ref="H173:I173"/>
    <mergeCell ref="A174:A177"/>
    <mergeCell ref="B175:B176"/>
    <mergeCell ref="C175:C176"/>
    <mergeCell ref="D175:D176"/>
    <mergeCell ref="E175:E176"/>
    <mergeCell ref="F175:F176"/>
    <mergeCell ref="G175:G176"/>
    <mergeCell ref="H175:H176"/>
    <mergeCell ref="I175:I176"/>
    <mergeCell ref="B160:C160"/>
    <mergeCell ref="D160:E160"/>
    <mergeCell ref="F160:G160"/>
    <mergeCell ref="H160:I160"/>
    <mergeCell ref="A161:A164"/>
    <mergeCell ref="B162:B163"/>
    <mergeCell ref="C162:C163"/>
    <mergeCell ref="D162:D163"/>
    <mergeCell ref="E162:E163"/>
    <mergeCell ref="F162:F163"/>
    <mergeCell ref="G162:G163"/>
    <mergeCell ref="H162:H163"/>
    <mergeCell ref="I162:I163"/>
    <mergeCell ref="J141:K141"/>
    <mergeCell ref="A150:A151"/>
    <mergeCell ref="B150:C150"/>
    <mergeCell ref="D150:E150"/>
    <mergeCell ref="F150:G150"/>
    <mergeCell ref="H150:I150"/>
    <mergeCell ref="J150:K150"/>
    <mergeCell ref="A141:A142"/>
    <mergeCell ref="B141:C141"/>
    <mergeCell ref="D141:E141"/>
    <mergeCell ref="F141:G141"/>
    <mergeCell ref="H141:I141"/>
    <mergeCell ref="B124:C124"/>
    <mergeCell ref="D124:E124"/>
    <mergeCell ref="F124:G124"/>
    <mergeCell ref="H124:I124"/>
    <mergeCell ref="A125:A128"/>
    <mergeCell ref="B126:B127"/>
    <mergeCell ref="C126:C127"/>
    <mergeCell ref="D126:D127"/>
    <mergeCell ref="E126:E127"/>
    <mergeCell ref="F126:F127"/>
    <mergeCell ref="G126:G127"/>
    <mergeCell ref="H126:H127"/>
    <mergeCell ref="I126:I127"/>
    <mergeCell ref="B111:C111"/>
    <mergeCell ref="D111:E111"/>
    <mergeCell ref="F111:G111"/>
    <mergeCell ref="H111:I111"/>
    <mergeCell ref="A112:A115"/>
    <mergeCell ref="B113:B114"/>
    <mergeCell ref="C113:C114"/>
    <mergeCell ref="D113:D114"/>
    <mergeCell ref="E113:E114"/>
    <mergeCell ref="F113:F114"/>
    <mergeCell ref="G113:G114"/>
    <mergeCell ref="H113:H114"/>
    <mergeCell ref="I113:I114"/>
    <mergeCell ref="G86:G87"/>
    <mergeCell ref="H86:H87"/>
    <mergeCell ref="I86:I87"/>
    <mergeCell ref="B97:C97"/>
    <mergeCell ref="D97:E97"/>
    <mergeCell ref="F97:G97"/>
    <mergeCell ref="H97:I97"/>
    <mergeCell ref="A98:A101"/>
    <mergeCell ref="B99:B100"/>
    <mergeCell ref="C99:C100"/>
    <mergeCell ref="D99:D100"/>
    <mergeCell ref="E99:E100"/>
    <mergeCell ref="F99:F100"/>
    <mergeCell ref="G99:G100"/>
    <mergeCell ref="H99:H100"/>
    <mergeCell ref="I99:I100"/>
    <mergeCell ref="D52:D53"/>
    <mergeCell ref="E52:E53"/>
    <mergeCell ref="F52:F53"/>
    <mergeCell ref="G52:G53"/>
    <mergeCell ref="H52:H53"/>
    <mergeCell ref="I52:I53"/>
    <mergeCell ref="B84:C84"/>
    <mergeCell ref="D84:E84"/>
    <mergeCell ref="F84:G84"/>
    <mergeCell ref="H84:I84"/>
    <mergeCell ref="H23:I23"/>
    <mergeCell ref="A24:A27"/>
    <mergeCell ref="B25:B26"/>
    <mergeCell ref="C25:C26"/>
    <mergeCell ref="D25:D26"/>
    <mergeCell ref="E25:E26"/>
    <mergeCell ref="F25:F26"/>
    <mergeCell ref="G25:G26"/>
    <mergeCell ref="H25:H26"/>
    <mergeCell ref="I25:I26"/>
    <mergeCell ref="B23:C23"/>
    <mergeCell ref="D23:E23"/>
    <mergeCell ref="F23:G23"/>
    <mergeCell ref="B1:C1"/>
    <mergeCell ref="D1:E1"/>
    <mergeCell ref="F1:G1"/>
    <mergeCell ref="H1:I1"/>
    <mergeCell ref="B3:B4"/>
    <mergeCell ref="C3:C4"/>
    <mergeCell ref="F3:F4"/>
    <mergeCell ref="G3:G4"/>
    <mergeCell ref="H3:H4"/>
    <mergeCell ref="I3:I4"/>
    <mergeCell ref="B50:C50"/>
    <mergeCell ref="D50:E50"/>
    <mergeCell ref="F50:G50"/>
    <mergeCell ref="H50:I50"/>
    <mergeCell ref="A51:A54"/>
    <mergeCell ref="B52:B53"/>
    <mergeCell ref="C52:C53"/>
    <mergeCell ref="A2:A5"/>
    <mergeCell ref="H12:H13"/>
    <mergeCell ref="I12:I13"/>
    <mergeCell ref="B10:C10"/>
    <mergeCell ref="D10:E10"/>
    <mergeCell ref="F10:G10"/>
    <mergeCell ref="H10:I10"/>
    <mergeCell ref="A11:A14"/>
    <mergeCell ref="D3:D4"/>
    <mergeCell ref="E3:E4"/>
    <mergeCell ref="G12:G13"/>
    <mergeCell ref="B12:B13"/>
    <mergeCell ref="C12:C13"/>
    <mergeCell ref="D12:D13"/>
    <mergeCell ref="E12:E13"/>
    <mergeCell ref="F12:F13"/>
    <mergeCell ref="B37:C37"/>
    <mergeCell ref="F37:G37"/>
    <mergeCell ref="H37:I37"/>
    <mergeCell ref="A38:A41"/>
    <mergeCell ref="B39:B40"/>
    <mergeCell ref="C39:C40"/>
    <mergeCell ref="D39:D40"/>
    <mergeCell ref="E39:E40"/>
    <mergeCell ref="F39:F40"/>
    <mergeCell ref="G39:G40"/>
    <mergeCell ref="H39:H40"/>
    <mergeCell ref="I39:I40"/>
    <mergeCell ref="D37:E37"/>
    <mergeCell ref="A211:A212"/>
    <mergeCell ref="B211:C211"/>
    <mergeCell ref="D211:E211"/>
    <mergeCell ref="F211:G211"/>
    <mergeCell ref="H211:I211"/>
    <mergeCell ref="J211:K211"/>
    <mergeCell ref="J67:K67"/>
    <mergeCell ref="A67:A68"/>
    <mergeCell ref="B67:C67"/>
    <mergeCell ref="D67:E67"/>
    <mergeCell ref="F67:G67"/>
    <mergeCell ref="H67:I67"/>
    <mergeCell ref="H76:I76"/>
    <mergeCell ref="J76:K76"/>
    <mergeCell ref="A76:A77"/>
    <mergeCell ref="B76:C76"/>
    <mergeCell ref="D76:E76"/>
    <mergeCell ref="F76:G76"/>
    <mergeCell ref="A85:A88"/>
    <mergeCell ref="B86:B87"/>
    <mergeCell ref="C86:C87"/>
    <mergeCell ref="D86:D87"/>
    <mergeCell ref="E86:E87"/>
    <mergeCell ref="F86:F87"/>
  </mergeCell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ocordon</dc:creator>
  <cp:lastModifiedBy>David Fernández Moreno</cp:lastModifiedBy>
  <dcterms:created xsi:type="dcterms:W3CDTF">2013-03-05T10:35:34Z</dcterms:created>
  <dcterms:modified xsi:type="dcterms:W3CDTF">2025-11-21T18:00:26Z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